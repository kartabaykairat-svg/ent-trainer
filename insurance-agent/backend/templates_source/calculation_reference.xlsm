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arly\Desktop\"/>
    </mc:Choice>
  </mc:AlternateContent>
  <xr:revisionPtr revIDLastSave="0" documentId="13_ncr:1_{8B52F1FB-74E5-4EB6-BC67-99D2331824E5}" xr6:coauthVersionLast="47" xr6:coauthVersionMax="47" xr10:uidLastSave="{00000000-0000-0000-0000-000000000000}"/>
  <workbookProtection workbookAlgorithmName="SHA-512" workbookHashValue="KllRuy7vAsb3TkEzm137EXrOF3koiUx2dj8d+aCoZZawyfJVTJk6tTFqd3uHi4vgCNXMOi1jhIPkIR9EEmbQ8w==" workbookSaltValue="Gy2KK2AIoXzoucsuwdzJrQ==" workbookSpinCount="100000" lockStructure="1"/>
  <bookViews>
    <workbookView xWindow="-108" yWindow="-108" windowWidth="23256" windowHeight="12456" tabRatio="774" xr2:uid="{00000000-000D-0000-FFFF-FFFF00000000}"/>
  </bookViews>
  <sheets>
    <sheet name="Input" sheetId="1" r:id="rId1"/>
    <sheet name="Input_calc" sheetId="3" state="hidden" r:id="rId2"/>
    <sheet name="calc" sheetId="4" state="hidden" r:id="rId3"/>
    <sheet name="calc2" sheetId="20" state="hidden" r:id="rId4"/>
    <sheet name="log" sheetId="21" state="hidden" r:id="rId5"/>
    <sheet name="График Выплат" sheetId="14" r:id="rId6"/>
    <sheet name="График Дивидендов" sheetId="22" r:id="rId7"/>
    <sheet name="Input_CV" sheetId="2" r:id="rId8"/>
    <sheet name="Расчет" sheetId="19" state="veryHidden" r:id="rId9"/>
  </sheets>
  <definedNames>
    <definedName name="AccessDatabase" hidden="1">"C:\Мои документы\Ермек\Insurance.mdb"</definedName>
    <definedName name="ann" localSheetId="6">Input_calc!$K$3</definedName>
    <definedName name="ann">Input_calc!$K$3</definedName>
    <definedName name="Ben" localSheetId="6">Input!$B$33</definedName>
    <definedName name="Ben">Input!$B$33</definedName>
    <definedName name="betta" localSheetId="6">Input_calc!$E$17</definedName>
    <definedName name="betta">Input_calc!$E$17</definedName>
    <definedName name="d_begin" localSheetId="6">Input!$G$4</definedName>
    <definedName name="d_begin">Input!$G$4</definedName>
    <definedName name="d_birth" localSheetId="6">Input!$B$6</definedName>
    <definedName name="d_birth">Input!$B$6</definedName>
    <definedName name="d_end" localSheetId="6">Input!$G$12</definedName>
    <definedName name="d_end">Input!$G$12</definedName>
    <definedName name="d_last" localSheetId="6">Input_calc!$H$23</definedName>
    <definedName name="d_last">Input_calc!$H$23</definedName>
    <definedName name="d_plast" localSheetId="6">Input!$G$10</definedName>
    <definedName name="d_plast">Input!$G$10</definedName>
    <definedName name="end" localSheetId="6">Input_calc!$H$3</definedName>
    <definedName name="end">Input_calc!$H$3</definedName>
    <definedName name="end_list">Input_calc!$H$4:$H$5</definedName>
    <definedName name="freq" localSheetId="6">Input_calc!$J$3</definedName>
    <definedName name="freq">Input_calc!$J$3</definedName>
    <definedName name="freq_2" localSheetId="6">Input_calc!$L$3</definedName>
    <definedName name="freq_2">Input_calc!$L$3</definedName>
    <definedName name="freq_list">Input_calc!$J$4:$J$7</definedName>
    <definedName name="g_period" localSheetId="6">Input!$B$12</definedName>
    <definedName name="g_period">Input!$B$12</definedName>
    <definedName name="gamma" localSheetId="6">Input_calc!$E$20</definedName>
    <definedName name="gamma">Input_calc!$E$20</definedName>
    <definedName name="i" localSheetId="6">Input_calc!$E$14</definedName>
    <definedName name="i">Input_calc!$E$14</definedName>
    <definedName name="index" localSheetId="6">Input!$G$25</definedName>
    <definedName name="index">Input!$G$25</definedName>
    <definedName name="list">Input_CV!$B$31:$B$36</definedName>
    <definedName name="max_g_period" localSheetId="6">Input_calc!$C$8</definedName>
    <definedName name="max_g_period">Input_calc!$C$8</definedName>
    <definedName name="min_ann" localSheetId="6">Input_calc!$H$8</definedName>
    <definedName name="min_ann">Input_calc!$H$8</definedName>
    <definedName name="min_d_birth">Input_calc!$E$8</definedName>
    <definedName name="min_pen" localSheetId="6">Input_calc!$H$20</definedName>
    <definedName name="min_pen">Input_calc!$H$20</definedName>
    <definedName name="mort" localSheetId="6">Input_calc!$A$13:$C$123</definedName>
    <definedName name="mort">Input_calc!$A$13:$C$123</definedName>
    <definedName name="nom_ben">calc!$J$13</definedName>
    <definedName name="pol" localSheetId="6">Input_calc!$E$3</definedName>
    <definedName name="pol">Input_calc!$E$3</definedName>
    <definedName name="pol_list" localSheetId="6">Input_calc!$E$4:$E$5</definedName>
    <definedName name="pol_list">Input_calc!$E$4:$E$5</definedName>
    <definedName name="x" localSheetId="6">Input!$G$8</definedName>
    <definedName name="x">Input!$G$8</definedName>
    <definedName name="x0" localSheetId="6">Input!$G$6</definedName>
    <definedName name="x0">Input!$G$6</definedName>
    <definedName name="_xlnm.Print_Area" localSheetId="5">'График Выплат'!$A$1:$C$739</definedName>
    <definedName name="_xlnm.Print_Area" localSheetId="6">'График Дивидендов'!$A$1:$C$36</definedName>
    <definedName name="_xlnm.Print_Area" localSheetId="8">Расчет!$A$1:$L$25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9" i="3" l="1"/>
  <c r="L39" i="3" s="1"/>
  <c r="P39" i="3"/>
  <c r="C5" i="19"/>
  <c r="M39" i="3" l="1"/>
  <c r="H1" i="1"/>
  <c r="B16" i="1" l="1"/>
  <c r="E11" i="19" s="1"/>
  <c r="J8" i="14" l="1"/>
  <c r="E8" i="14"/>
  <c r="A8" i="14"/>
  <c r="F8" i="14" s="1"/>
  <c r="R3" i="3" l="1"/>
  <c r="J17" i="3" l="1"/>
  <c r="Q11" i="3"/>
  <c r="I20" i="3" l="1"/>
  <c r="H14" i="3"/>
  <c r="H17" i="3"/>
  <c r="G22" i="1"/>
  <c r="B3" i="3"/>
  <c r="Q14" i="3" l="1"/>
  <c r="P28" i="3"/>
  <c r="P35" i="3"/>
  <c r="P36" i="3"/>
  <c r="P37" i="3"/>
  <c r="P38" i="3"/>
  <c r="P25" i="3"/>
  <c r="P26" i="3"/>
  <c r="P27" i="3"/>
  <c r="P29" i="3"/>
  <c r="P30" i="3"/>
  <c r="P31" i="3"/>
  <c r="P32" i="3"/>
  <c r="P33" i="3"/>
  <c r="P34" i="3"/>
  <c r="P24" i="3"/>
  <c r="M24" i="3" s="1"/>
  <c r="Q7" i="3"/>
  <c r="L24" i="3"/>
  <c r="H3" i="3"/>
  <c r="N25" i="3" l="1"/>
  <c r="M25" i="3" s="1"/>
  <c r="H20" i="3"/>
  <c r="P7" i="4" s="1"/>
  <c r="R23" i="3" l="1"/>
  <c r="R22" i="3" l="1"/>
  <c r="C3" i="3"/>
  <c r="R21" i="3" l="1"/>
  <c r="R20" i="3" s="1"/>
  <c r="G12" i="1"/>
  <c r="E17" i="3"/>
  <c r="L1" i="20" l="1"/>
  <c r="G6" i="1" l="1"/>
  <c r="B3" i="20" s="1"/>
  <c r="E3" i="20" s="1"/>
  <c r="C3" i="20" l="1"/>
  <c r="B4" i="20"/>
  <c r="Q23" i="3" l="1"/>
  <c r="Q22" i="3" s="1"/>
  <c r="Q21" i="3" l="1"/>
  <c r="Q20" i="3" s="1"/>
  <c r="N26" i="3"/>
  <c r="M26" i="3" s="1"/>
  <c r="L25" i="3"/>
  <c r="N27" i="3" l="1"/>
  <c r="M27" i="3" s="1"/>
  <c r="L26" i="3"/>
  <c r="N28" i="3" l="1"/>
  <c r="M28" i="3" s="1"/>
  <c r="L27" i="3"/>
  <c r="H4" i="20"/>
  <c r="N29" i="3" l="1"/>
  <c r="M29" i="3" s="1"/>
  <c r="L28" i="3"/>
  <c r="P40" i="3" s="1"/>
  <c r="N30" i="3" l="1"/>
  <c r="M30" i="3" s="1"/>
  <c r="L29" i="3"/>
  <c r="A5" i="20"/>
  <c r="N31" i="3" l="1"/>
  <c r="M31" i="3" s="1"/>
  <c r="L30" i="3"/>
  <c r="A6" i="20"/>
  <c r="N32" i="3" l="1"/>
  <c r="M32" i="3" s="1"/>
  <c r="L31" i="3"/>
  <c r="A7" i="20"/>
  <c r="N33" i="3" l="1"/>
  <c r="M33" i="3" s="1"/>
  <c r="L32" i="3"/>
  <c r="A8" i="20"/>
  <c r="Q4" i="3"/>
  <c r="E3" i="3"/>
  <c r="N34" i="3" l="1"/>
  <c r="M34" i="3" s="1"/>
  <c r="L33" i="3"/>
  <c r="A9" i="20"/>
  <c r="C20" i="2"/>
  <c r="N35" i="3" l="1"/>
  <c r="M35" i="3" s="1"/>
  <c r="L34" i="3"/>
  <c r="A10" i="20"/>
  <c r="E33" i="1"/>
  <c r="F5" i="19" s="1"/>
  <c r="L35" i="3" l="1"/>
  <c r="N36" i="3"/>
  <c r="M36" i="3" s="1"/>
  <c r="A11" i="20"/>
  <c r="W94" i="4"/>
  <c r="V94" i="4"/>
  <c r="W93" i="4"/>
  <c r="V93" i="4"/>
  <c r="X93" i="4" s="1"/>
  <c r="L36" i="3" l="1"/>
  <c r="N37" i="3"/>
  <c r="M37" i="3" s="1"/>
  <c r="A12" i="20"/>
  <c r="X94" i="4"/>
  <c r="L37" i="3" l="1"/>
  <c r="N38" i="3"/>
  <c r="M38" i="3" s="1"/>
  <c r="P23" i="3" s="1"/>
  <c r="A13" i="20"/>
  <c r="P22" i="3" l="1"/>
  <c r="L38" i="3"/>
  <c r="A14" i="20"/>
  <c r="R5" i="3"/>
  <c r="R6" i="3" s="1"/>
  <c r="P21" i="3" l="1"/>
  <c r="P20" i="3" s="1"/>
  <c r="C4" i="20"/>
  <c r="E4" i="20" s="1"/>
  <c r="F4" i="20"/>
  <c r="A15" i="20"/>
  <c r="R7" i="3"/>
  <c r="A16" i="20" l="1"/>
  <c r="R8" i="3"/>
  <c r="H23" i="3"/>
  <c r="A17" i="20" l="1"/>
  <c r="R9" i="3"/>
  <c r="U3" i="3" s="1"/>
  <c r="G4" i="20"/>
  <c r="J36" i="2"/>
  <c r="A18" i="20" l="1"/>
  <c r="Q6" i="3"/>
  <c r="Q8" i="3"/>
  <c r="Q9" i="3"/>
  <c r="Q10" i="3"/>
  <c r="Q12" i="3"/>
  <c r="Q13" i="3"/>
  <c r="Q5" i="3"/>
  <c r="A19" i="20" l="1"/>
  <c r="Q3" i="3"/>
  <c r="A20" i="20" l="1"/>
  <c r="P12" i="2"/>
  <c r="A21" i="20" l="1"/>
  <c r="A22" i="20" l="1"/>
  <c r="A23" i="20" l="1"/>
  <c r="C39" i="2"/>
  <c r="A24" i="20" l="1"/>
  <c r="C33" i="2"/>
  <c r="J3" i="3"/>
  <c r="L3" i="3" s="1"/>
  <c r="A74" i="2"/>
  <c r="D9" i="14" l="1"/>
  <c r="D10" i="14" s="1"/>
  <c r="A25" i="20"/>
  <c r="J29" i="2"/>
  <c r="K29" i="2"/>
  <c r="I29" i="2"/>
  <c r="H29" i="2"/>
  <c r="G29" i="2"/>
  <c r="E29" i="2"/>
  <c r="F9" i="14" l="1"/>
  <c r="D11" i="14"/>
  <c r="F10" i="14"/>
  <c r="A26" i="20"/>
  <c r="K3" i="3"/>
  <c r="B30" i="2"/>
  <c r="D12" i="14" l="1"/>
  <c r="F11" i="14"/>
  <c r="H8" i="3"/>
  <c r="A27" i="20"/>
  <c r="E43" i="2"/>
  <c r="C8" i="19" s="1"/>
  <c r="F43" i="2"/>
  <c r="C43" i="2"/>
  <c r="I16" i="4"/>
  <c r="AA16" i="4" s="1"/>
  <c r="D13" i="14" l="1"/>
  <c r="F12" i="14"/>
  <c r="A28" i="20"/>
  <c r="J10" i="3"/>
  <c r="AD83" i="4"/>
  <c r="AD82" i="4"/>
  <c r="AD81" i="4"/>
  <c r="AD80" i="4"/>
  <c r="AD79" i="4"/>
  <c r="AD78" i="4"/>
  <c r="AD77" i="4"/>
  <c r="AD76" i="4"/>
  <c r="AE76" i="4" s="1"/>
  <c r="AD75" i="4"/>
  <c r="AE75" i="4" s="1"/>
  <c r="AD74" i="4"/>
  <c r="AE74" i="4" s="1"/>
  <c r="AD73" i="4"/>
  <c r="AE73" i="4" s="1"/>
  <c r="AD72" i="4"/>
  <c r="AE72" i="4" s="1"/>
  <c r="AD71" i="4"/>
  <c r="AD70" i="4"/>
  <c r="AD69" i="4"/>
  <c r="AD68" i="4"/>
  <c r="AD67" i="4"/>
  <c r="AD66" i="4"/>
  <c r="AD65" i="4"/>
  <c r="AD64" i="4"/>
  <c r="AD63" i="4"/>
  <c r="AD62" i="4"/>
  <c r="AD61" i="4"/>
  <c r="AD60" i="4"/>
  <c r="AD59" i="4"/>
  <c r="AD58" i="4"/>
  <c r="AD57" i="4"/>
  <c r="AD56" i="4"/>
  <c r="AD55" i="4"/>
  <c r="AD54" i="4"/>
  <c r="AD53" i="4"/>
  <c r="AD52" i="4"/>
  <c r="AD51" i="4"/>
  <c r="AD50" i="4"/>
  <c r="AD49" i="4"/>
  <c r="AD48" i="4"/>
  <c r="AD47" i="4"/>
  <c r="AD46" i="4"/>
  <c r="AD45" i="4"/>
  <c r="AD44" i="4"/>
  <c r="AD43" i="4"/>
  <c r="AD42" i="4"/>
  <c r="AD41" i="4"/>
  <c r="AD40" i="4"/>
  <c r="AD39" i="4"/>
  <c r="AD38" i="4"/>
  <c r="AD37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17" i="4"/>
  <c r="AD16" i="4"/>
  <c r="D14" i="14" l="1"/>
  <c r="F13" i="14"/>
  <c r="A29" i="20"/>
  <c r="AC17" i="4"/>
  <c r="A18" i="4"/>
  <c r="D15" i="14" l="1"/>
  <c r="F14" i="14"/>
  <c r="A30" i="20"/>
  <c r="A19" i="4"/>
  <c r="AC18" i="4"/>
  <c r="D16" i="14" l="1"/>
  <c r="F15" i="14"/>
  <c r="A31" i="20"/>
  <c r="A20" i="4"/>
  <c r="AC19" i="4"/>
  <c r="D17" i="14" l="1"/>
  <c r="F16" i="14"/>
  <c r="A32" i="20"/>
  <c r="A21" i="4"/>
  <c r="AC20" i="4"/>
  <c r="D18" i="14" l="1"/>
  <c r="F17" i="14"/>
  <c r="A33" i="20"/>
  <c r="AC21" i="4"/>
  <c r="A22" i="4"/>
  <c r="D19" i="14" l="1"/>
  <c r="F18" i="14"/>
  <c r="A34" i="20"/>
  <c r="AC22" i="4"/>
  <c r="A23" i="4"/>
  <c r="D20" i="14" l="1"/>
  <c r="F19" i="14"/>
  <c r="A24" i="4"/>
  <c r="AC23" i="4"/>
  <c r="D21" i="14" l="1"/>
  <c r="F20" i="14"/>
  <c r="A25" i="4"/>
  <c r="AC24" i="4"/>
  <c r="D22" i="14" l="1"/>
  <c r="F21" i="14"/>
  <c r="AC25" i="4"/>
  <c r="A26" i="4"/>
  <c r="D23" i="14" l="1"/>
  <c r="F22" i="14"/>
  <c r="AC26" i="4"/>
  <c r="A27" i="4"/>
  <c r="D24" i="14" l="1"/>
  <c r="F23" i="14"/>
  <c r="A28" i="4"/>
  <c r="AC27" i="4"/>
  <c r="D25" i="14" l="1"/>
  <c r="F24" i="14"/>
  <c r="A29" i="4"/>
  <c r="AC28" i="4"/>
  <c r="D26" i="14" l="1"/>
  <c r="F25" i="14"/>
  <c r="A30" i="4"/>
  <c r="AC29" i="4"/>
  <c r="D27" i="14" l="1"/>
  <c r="F26" i="14"/>
  <c r="AC30" i="4"/>
  <c r="A31" i="4"/>
  <c r="D28" i="14" l="1"/>
  <c r="F27" i="14"/>
  <c r="AC31" i="4"/>
  <c r="A32" i="4"/>
  <c r="D29" i="14" l="1"/>
  <c r="F28" i="14"/>
  <c r="A33" i="4"/>
  <c r="AC32" i="4"/>
  <c r="D30" i="14" l="1"/>
  <c r="F29" i="14"/>
  <c r="A34" i="4"/>
  <c r="AC33" i="4"/>
  <c r="D31" i="14" l="1"/>
  <c r="F30" i="14"/>
  <c r="AC34" i="4"/>
  <c r="A35" i="4"/>
  <c r="D32" i="14" l="1"/>
  <c r="F31" i="14"/>
  <c r="A36" i="4"/>
  <c r="AC35" i="4"/>
  <c r="D33" i="14" l="1"/>
  <c r="F32" i="14"/>
  <c r="A37" i="4"/>
  <c r="AC36" i="4"/>
  <c r="D34" i="14" l="1"/>
  <c r="F33" i="14"/>
  <c r="A38" i="4"/>
  <c r="AC37" i="4"/>
  <c r="D35" i="14" l="1"/>
  <c r="F34" i="14"/>
  <c r="AC38" i="4"/>
  <c r="A39" i="4"/>
  <c r="D36" i="14" l="1"/>
  <c r="F35" i="14"/>
  <c r="AC39" i="4"/>
  <c r="A40" i="4"/>
  <c r="D37" i="14" l="1"/>
  <c r="F36" i="14"/>
  <c r="A41" i="4"/>
  <c r="AC40" i="4"/>
  <c r="D38" i="14" l="1"/>
  <c r="F37" i="14"/>
  <c r="A42" i="4"/>
  <c r="AC41" i="4"/>
  <c r="D39" i="14" l="1"/>
  <c r="F38" i="14"/>
  <c r="AC42" i="4"/>
  <c r="A43" i="4"/>
  <c r="D40" i="14" l="1"/>
  <c r="F39" i="14"/>
  <c r="A44" i="4"/>
  <c r="AC43" i="4"/>
  <c r="D41" i="14" l="1"/>
  <c r="F40" i="14"/>
  <c r="A45" i="4"/>
  <c r="AC44" i="4"/>
  <c r="D42" i="14" l="1"/>
  <c r="F41" i="14"/>
  <c r="A46" i="4"/>
  <c r="AC45" i="4"/>
  <c r="D43" i="14" l="1"/>
  <c r="F42" i="14"/>
  <c r="AC46" i="4"/>
  <c r="A47" i="4"/>
  <c r="D44" i="14" l="1"/>
  <c r="F43" i="14"/>
  <c r="A48" i="4"/>
  <c r="AC47" i="4"/>
  <c r="D45" i="14" l="1"/>
  <c r="F44" i="14"/>
  <c r="A49" i="4"/>
  <c r="AC48" i="4"/>
  <c r="D46" i="14" l="1"/>
  <c r="F45" i="14"/>
  <c r="A50" i="4"/>
  <c r="AC49" i="4"/>
  <c r="D47" i="14" l="1"/>
  <c r="F46" i="14"/>
  <c r="AC50" i="4"/>
  <c r="A51" i="4"/>
  <c r="D48" i="14" l="1"/>
  <c r="F47" i="14"/>
  <c r="A52" i="4"/>
  <c r="AC51" i="4"/>
  <c r="D49" i="14" l="1"/>
  <c r="F48" i="14"/>
  <c r="A53" i="4"/>
  <c r="AC52" i="4"/>
  <c r="D50" i="14" l="1"/>
  <c r="F49" i="14"/>
  <c r="A54" i="4"/>
  <c r="AC53" i="4"/>
  <c r="D51" i="14" l="1"/>
  <c r="F50" i="14"/>
  <c r="AC54" i="4"/>
  <c r="A55" i="4"/>
  <c r="D52" i="14" l="1"/>
  <c r="F51" i="14"/>
  <c r="A56" i="4"/>
  <c r="AC55" i="4"/>
  <c r="D53" i="14" l="1"/>
  <c r="F52" i="14"/>
  <c r="A57" i="4"/>
  <c r="AC56" i="4"/>
  <c r="D54" i="14" l="1"/>
  <c r="F53" i="14"/>
  <c r="A58" i="4"/>
  <c r="AC57" i="4"/>
  <c r="D55" i="14" l="1"/>
  <c r="F54" i="14"/>
  <c r="A59" i="4"/>
  <c r="AC58" i="4"/>
  <c r="D56" i="14" l="1"/>
  <c r="F55" i="14"/>
  <c r="AC59" i="4"/>
  <c r="A60" i="4"/>
  <c r="D57" i="14" l="1"/>
  <c r="F56" i="14"/>
  <c r="AC60" i="4"/>
  <c r="A61" i="4"/>
  <c r="D58" i="14" l="1"/>
  <c r="F57" i="14"/>
  <c r="AC61" i="4"/>
  <c r="A62" i="4"/>
  <c r="D59" i="14" l="1"/>
  <c r="F58" i="14"/>
  <c r="A63" i="4"/>
  <c r="AC62" i="4"/>
  <c r="D60" i="14" l="1"/>
  <c r="F59" i="14"/>
  <c r="A64" i="4"/>
  <c r="AC63" i="4"/>
  <c r="D61" i="14" l="1"/>
  <c r="F60" i="14"/>
  <c r="A65" i="4"/>
  <c r="AC64" i="4"/>
  <c r="D62" i="14" l="1"/>
  <c r="F61" i="14"/>
  <c r="AC65" i="4"/>
  <c r="A66" i="4"/>
  <c r="D63" i="14" l="1"/>
  <c r="F62" i="14"/>
  <c r="AC66" i="4"/>
  <c r="A67" i="4"/>
  <c r="D64" i="14" l="1"/>
  <c r="F63" i="14"/>
  <c r="AC67" i="4"/>
  <c r="A68" i="4"/>
  <c r="D65" i="14" l="1"/>
  <c r="F64" i="14"/>
  <c r="AC68" i="4"/>
  <c r="A69" i="4"/>
  <c r="D66" i="14" l="1"/>
  <c r="F65" i="14"/>
  <c r="AC69" i="4"/>
  <c r="A70" i="4"/>
  <c r="D67" i="14" l="1"/>
  <c r="F66" i="14"/>
  <c r="A71" i="4"/>
  <c r="AC70" i="4"/>
  <c r="D68" i="14" l="1"/>
  <c r="F67" i="14"/>
  <c r="A72" i="4"/>
  <c r="AC71" i="4"/>
  <c r="D69" i="14" l="1"/>
  <c r="F68" i="14"/>
  <c r="AC72" i="4"/>
  <c r="A73" i="4"/>
  <c r="F69" i="14" l="1"/>
  <c r="D70" i="14"/>
  <c r="AC73" i="4"/>
  <c r="A74" i="4"/>
  <c r="D71" i="14" l="1"/>
  <c r="F70" i="14"/>
  <c r="A75" i="4"/>
  <c r="AC74" i="4"/>
  <c r="D72" i="14" l="1"/>
  <c r="F71" i="14"/>
  <c r="AC75" i="4"/>
  <c r="A76" i="4"/>
  <c r="D73" i="14" l="1"/>
  <c r="F72" i="14"/>
  <c r="AC76" i="4"/>
  <c r="A77" i="4"/>
  <c r="D74" i="14" l="1"/>
  <c r="F73" i="14"/>
  <c r="A78" i="4"/>
  <c r="D75" i="14" l="1"/>
  <c r="F74" i="14"/>
  <c r="A79" i="4"/>
  <c r="D76" i="14" l="1"/>
  <c r="F75" i="14"/>
  <c r="A80" i="4"/>
  <c r="D77" i="14" l="1"/>
  <c r="F76" i="14"/>
  <c r="A81" i="4"/>
  <c r="F77" i="14" l="1"/>
  <c r="D78" i="14"/>
  <c r="A82" i="4"/>
  <c r="D79" i="14" l="1"/>
  <c r="F78" i="14"/>
  <c r="A83" i="4"/>
  <c r="D80" i="14" l="1"/>
  <c r="F79" i="14"/>
  <c r="A84" i="4"/>
  <c r="D81" i="14" l="1"/>
  <c r="F80" i="14"/>
  <c r="A85" i="4"/>
  <c r="D82" i="14" l="1"/>
  <c r="F81" i="14"/>
  <c r="A86" i="4"/>
  <c r="D83" i="14" l="1"/>
  <c r="F82" i="14"/>
  <c r="A87" i="4"/>
  <c r="D84" i="14" l="1"/>
  <c r="F83" i="14"/>
  <c r="A88" i="4"/>
  <c r="D85" i="14" l="1"/>
  <c r="F84" i="14"/>
  <c r="A89" i="4"/>
  <c r="D86" i="14" l="1"/>
  <c r="F85" i="14"/>
  <c r="A90" i="4"/>
  <c r="D87" i="14" l="1"/>
  <c r="F86" i="14"/>
  <c r="A91" i="4"/>
  <c r="D88" i="14" l="1"/>
  <c r="F87" i="14"/>
  <c r="A92" i="4"/>
  <c r="D89" i="14" l="1"/>
  <c r="F88" i="14"/>
  <c r="A93" i="4"/>
  <c r="D90" i="14" l="1"/>
  <c r="F89" i="14"/>
  <c r="A94" i="4"/>
  <c r="D91" i="14" l="1"/>
  <c r="F90" i="14"/>
  <c r="E8" i="3"/>
  <c r="I7" i="14" l="1"/>
  <c r="H7" i="14" s="1"/>
  <c r="F91" i="14"/>
  <c r="D92" i="14"/>
  <c r="C40" i="3"/>
  <c r="C83" i="3"/>
  <c r="B56" i="3"/>
  <c r="B52" i="3"/>
  <c r="C42" i="3"/>
  <c r="C18" i="3"/>
  <c r="C74" i="3"/>
  <c r="B123" i="3"/>
  <c r="C57" i="3"/>
  <c r="C92" i="3"/>
  <c r="B38" i="3"/>
  <c r="B37" i="3"/>
  <c r="C84" i="3"/>
  <c r="B111" i="3"/>
  <c r="C38" i="3"/>
  <c r="B117" i="3"/>
  <c r="C73" i="3"/>
  <c r="C107" i="3"/>
  <c r="B63" i="3"/>
  <c r="C31" i="3"/>
  <c r="B67" i="3"/>
  <c r="C21" i="3"/>
  <c r="B106" i="3"/>
  <c r="C116" i="3"/>
  <c r="C75" i="3"/>
  <c r="C16" i="3"/>
  <c r="B98" i="3"/>
  <c r="B84" i="3"/>
  <c r="B66" i="3"/>
  <c r="B85" i="3"/>
  <c r="B46" i="3"/>
  <c r="C25" i="3"/>
  <c r="C46" i="3"/>
  <c r="C102" i="3"/>
  <c r="B69" i="3"/>
  <c r="C108" i="3"/>
  <c r="B91" i="3"/>
  <c r="B118" i="3"/>
  <c r="B122" i="3"/>
  <c r="B101" i="3"/>
  <c r="C36" i="3"/>
  <c r="B76" i="3"/>
  <c r="B83" i="3"/>
  <c r="E9" i="3"/>
  <c r="H31" i="3" s="1"/>
  <c r="B65" i="3"/>
  <c r="B25" i="3"/>
  <c r="B100" i="3"/>
  <c r="C23" i="3"/>
  <c r="B24" i="3"/>
  <c r="C19" i="3"/>
  <c r="B99" i="3"/>
  <c r="C56" i="3"/>
  <c r="B74" i="3"/>
  <c r="B47" i="3"/>
  <c r="B93" i="3"/>
  <c r="C28" i="3"/>
  <c r="C85" i="3"/>
  <c r="B102" i="3"/>
  <c r="C39" i="3"/>
  <c r="B120" i="3"/>
  <c r="C15" i="3"/>
  <c r="C17" i="3"/>
  <c r="B58" i="3"/>
  <c r="B16" i="3"/>
  <c r="B41" i="3"/>
  <c r="B110" i="3"/>
  <c r="C51" i="3"/>
  <c r="C119" i="3"/>
  <c r="C86" i="3"/>
  <c r="B35" i="3"/>
  <c r="B115" i="3"/>
  <c r="C35" i="3"/>
  <c r="C27" i="3"/>
  <c r="G4" i="1"/>
  <c r="B121" i="3"/>
  <c r="B113" i="3"/>
  <c r="C43" i="3"/>
  <c r="C110" i="3"/>
  <c r="B28" i="3"/>
  <c r="B104" i="3"/>
  <c r="C49" i="3"/>
  <c r="B103" i="3"/>
  <c r="C123" i="3"/>
  <c r="B54" i="3"/>
  <c r="C103" i="3"/>
  <c r="C14" i="3"/>
  <c r="B108" i="3"/>
  <c r="H32" i="3"/>
  <c r="B119" i="3"/>
  <c r="C52" i="3"/>
  <c r="C26" i="3"/>
  <c r="B21" i="3"/>
  <c r="B33" i="3"/>
  <c r="C24" i="3"/>
  <c r="B36" i="3"/>
  <c r="C30" i="3"/>
  <c r="C37" i="3"/>
  <c r="B30" i="3"/>
  <c r="B50" i="3"/>
  <c r="B75" i="3"/>
  <c r="B116" i="3"/>
  <c r="C109" i="3"/>
  <c r="B27" i="3"/>
  <c r="B80" i="3"/>
  <c r="C115" i="3"/>
  <c r="B77" i="3"/>
  <c r="B14" i="3"/>
  <c r="B13" i="3"/>
  <c r="B60" i="3"/>
  <c r="B87" i="3"/>
  <c r="C62" i="3"/>
  <c r="C82" i="3"/>
  <c r="C69" i="3"/>
  <c r="C100" i="3"/>
  <c r="B20" i="3"/>
  <c r="B19" i="3"/>
  <c r="B68" i="3"/>
  <c r="C81" i="3"/>
  <c r="B86" i="3"/>
  <c r="C58" i="3"/>
  <c r="B89" i="3"/>
  <c r="B62" i="3"/>
  <c r="B29" i="3"/>
  <c r="B39" i="3"/>
  <c r="C112" i="3"/>
  <c r="C99" i="3"/>
  <c r="C80" i="3"/>
  <c r="C45" i="3"/>
  <c r="B105" i="3"/>
  <c r="B78" i="3"/>
  <c r="C117" i="3"/>
  <c r="B57" i="3"/>
  <c r="B23" i="3"/>
  <c r="C87" i="3"/>
  <c r="B42" i="3"/>
  <c r="C94" i="3"/>
  <c r="C60" i="3"/>
  <c r="B114" i="3"/>
  <c r="C22" i="3"/>
  <c r="C113" i="3"/>
  <c r="C67" i="3"/>
  <c r="C53" i="3"/>
  <c r="C20" i="3"/>
  <c r="B97" i="3"/>
  <c r="B31" i="3"/>
  <c r="C118" i="3"/>
  <c r="C93" i="3"/>
  <c r="C71" i="3"/>
  <c r="B15" i="3"/>
  <c r="C68" i="3"/>
  <c r="I7" i="4"/>
  <c r="C101" i="3"/>
  <c r="B88" i="3"/>
  <c r="B73" i="3"/>
  <c r="H30" i="3"/>
  <c r="B107" i="3"/>
  <c r="B40" i="3"/>
  <c r="B79" i="3"/>
  <c r="C59" i="3"/>
  <c r="B43" i="3"/>
  <c r="C70" i="3"/>
  <c r="C13" i="3"/>
  <c r="C55" i="3"/>
  <c r="B49" i="3"/>
  <c r="C121" i="3"/>
  <c r="B95" i="3"/>
  <c r="B59" i="3"/>
  <c r="B17" i="3"/>
  <c r="C48" i="3"/>
  <c r="B26" i="3"/>
  <c r="C106" i="3"/>
  <c r="B82" i="3"/>
  <c r="C34" i="3"/>
  <c r="B18" i="3"/>
  <c r="C98" i="3"/>
  <c r="C29" i="3"/>
  <c r="B53" i="3"/>
  <c r="C54" i="3"/>
  <c r="B90" i="3"/>
  <c r="C61" i="3"/>
  <c r="B51" i="3"/>
  <c r="C90" i="3"/>
  <c r="C95" i="3"/>
  <c r="B71" i="3"/>
  <c r="C77" i="3"/>
  <c r="C44" i="3"/>
  <c r="C72" i="3"/>
  <c r="B22" i="3"/>
  <c r="B109" i="3"/>
  <c r="C91" i="3"/>
  <c r="B45" i="3"/>
  <c r="C33" i="3"/>
  <c r="C79" i="3"/>
  <c r="B92" i="3"/>
  <c r="B55" i="3"/>
  <c r="C66" i="3"/>
  <c r="C96" i="3"/>
  <c r="C65" i="3"/>
  <c r="C105" i="3"/>
  <c r="C88" i="3"/>
  <c r="B96" i="3"/>
  <c r="B112" i="3"/>
  <c r="B72" i="3"/>
  <c r="C76" i="3"/>
  <c r="C32" i="3"/>
  <c r="C50" i="3"/>
  <c r="B48" i="3"/>
  <c r="C47" i="3"/>
  <c r="C89" i="3"/>
  <c r="C122" i="3"/>
  <c r="C111" i="3"/>
  <c r="C104" i="3"/>
  <c r="B44" i="3"/>
  <c r="C64" i="3"/>
  <c r="C63" i="3"/>
  <c r="B70" i="3"/>
  <c r="C41" i="3"/>
  <c r="B32" i="3"/>
  <c r="B34" i="3"/>
  <c r="C78" i="3"/>
  <c r="B64" i="3"/>
  <c r="B61" i="3"/>
  <c r="C120" i="3"/>
  <c r="C114" i="3"/>
  <c r="C97" i="3"/>
  <c r="B94" i="3"/>
  <c r="B81" i="3"/>
  <c r="E15" i="19" l="1"/>
  <c r="E17" i="19" s="1"/>
  <c r="C2" i="19"/>
  <c r="B16" i="20"/>
  <c r="C16" i="20" s="1"/>
  <c r="B18" i="20"/>
  <c r="E18" i="20" s="1"/>
  <c r="D93" i="14"/>
  <c r="F92" i="14"/>
  <c r="B10" i="20"/>
  <c r="E10" i="20" s="1"/>
  <c r="B15" i="20"/>
  <c r="E15" i="20" s="1"/>
  <c r="B28" i="20"/>
  <c r="B31" i="20"/>
  <c r="C31" i="20" s="1"/>
  <c r="B20" i="20"/>
  <c r="G20" i="20" s="1"/>
  <c r="B9" i="20"/>
  <c r="E9" i="20" s="1"/>
  <c r="B34" i="20"/>
  <c r="I34" i="20" s="1"/>
  <c r="B21" i="20"/>
  <c r="B6" i="20"/>
  <c r="G6" i="20" s="1"/>
  <c r="B26" i="20"/>
  <c r="C26" i="20" s="1"/>
  <c r="B11" i="20"/>
  <c r="G11" i="20" s="1"/>
  <c r="B12" i="20"/>
  <c r="B27" i="20"/>
  <c r="C27" i="20" s="1"/>
  <c r="B19" i="20"/>
  <c r="E19" i="20" s="1"/>
  <c r="B8" i="20"/>
  <c r="E8" i="20" s="1"/>
  <c r="B5" i="20"/>
  <c r="I4" i="20" s="1"/>
  <c r="J4" i="20" s="1"/>
  <c r="G8" i="1"/>
  <c r="E1" i="20" s="1"/>
  <c r="B25" i="20"/>
  <c r="B15" i="4"/>
  <c r="E1" i="1"/>
  <c r="F1" i="1" s="1"/>
  <c r="G1" i="1" s="1"/>
  <c r="B23" i="20"/>
  <c r="B7" i="20"/>
  <c r="F15" i="1"/>
  <c r="G15" i="1" s="1"/>
  <c r="H7" i="19" s="1"/>
  <c r="B29" i="20"/>
  <c r="B24" i="20"/>
  <c r="B17" i="20"/>
  <c r="B30" i="20"/>
  <c r="B22" i="20"/>
  <c r="C22" i="20" s="1"/>
  <c r="B32" i="20"/>
  <c r="G32" i="20" s="1"/>
  <c r="B13" i="20"/>
  <c r="C13" i="20" s="1"/>
  <c r="B14" i="20"/>
  <c r="C14" i="20" s="1"/>
  <c r="B33" i="20"/>
  <c r="G33" i="20" s="1"/>
  <c r="C15" i="20" l="1"/>
  <c r="C10" i="20"/>
  <c r="G10" i="20"/>
  <c r="I15" i="20"/>
  <c r="G16" i="20"/>
  <c r="E16" i="20"/>
  <c r="G18" i="20"/>
  <c r="C18" i="20"/>
  <c r="G15" i="20"/>
  <c r="I17" i="20"/>
  <c r="I27" i="20"/>
  <c r="D94" i="14"/>
  <c r="F93" i="14"/>
  <c r="G28" i="20"/>
  <c r="E28" i="20"/>
  <c r="E27" i="20"/>
  <c r="I20" i="20"/>
  <c r="C28" i="20"/>
  <c r="G27" i="20"/>
  <c r="C19" i="20"/>
  <c r="I18" i="20"/>
  <c r="G21" i="20"/>
  <c r="E31" i="20"/>
  <c r="G31" i="20"/>
  <c r="C8" i="20"/>
  <c r="G34" i="20"/>
  <c r="C21" i="20"/>
  <c r="E21" i="20"/>
  <c r="I33" i="20"/>
  <c r="C20" i="20"/>
  <c r="E20" i="20"/>
  <c r="E33" i="20"/>
  <c r="I29" i="20"/>
  <c r="I9" i="20"/>
  <c r="C6" i="20"/>
  <c r="I8" i="20"/>
  <c r="I10" i="20"/>
  <c r="G14" i="20"/>
  <c r="I25" i="20"/>
  <c r="I30" i="20"/>
  <c r="C11" i="20"/>
  <c r="E26" i="20"/>
  <c r="E11" i="20"/>
  <c r="E14" i="20"/>
  <c r="I14" i="20"/>
  <c r="I26" i="20"/>
  <c r="G9" i="20"/>
  <c r="C33" i="20"/>
  <c r="C9" i="20"/>
  <c r="C34" i="20"/>
  <c r="D34" i="20" s="1"/>
  <c r="E34" i="20" s="1"/>
  <c r="E6" i="20"/>
  <c r="G26" i="20"/>
  <c r="I11" i="20"/>
  <c r="G8" i="20"/>
  <c r="C5" i="20"/>
  <c r="G5" i="20"/>
  <c r="G30" i="20"/>
  <c r="I5" i="20"/>
  <c r="C12" i="20"/>
  <c r="E30" i="20"/>
  <c r="C25" i="20"/>
  <c r="I19" i="20"/>
  <c r="G12" i="20"/>
  <c r="I12" i="20"/>
  <c r="E5" i="20"/>
  <c r="F5" i="20"/>
  <c r="G25" i="20"/>
  <c r="E12" i="20"/>
  <c r="G19" i="20"/>
  <c r="H5" i="20"/>
  <c r="H6" i="20" s="1"/>
  <c r="H7" i="20" s="1"/>
  <c r="I13" i="20"/>
  <c r="G23" i="20"/>
  <c r="C23" i="20"/>
  <c r="E23" i="20"/>
  <c r="E25" i="20"/>
  <c r="I31" i="20"/>
  <c r="G17" i="20"/>
  <c r="E17" i="20"/>
  <c r="I16" i="20"/>
  <c r="C17" i="20"/>
  <c r="E7" i="20"/>
  <c r="C7" i="20"/>
  <c r="G7" i="20"/>
  <c r="I6" i="20"/>
  <c r="I22" i="20"/>
  <c r="I24" i="20"/>
  <c r="G22" i="20"/>
  <c r="G13" i="20"/>
  <c r="I32" i="20"/>
  <c r="C15" i="4"/>
  <c r="C8" i="3" s="1"/>
  <c r="C13" i="4"/>
  <c r="B16" i="4"/>
  <c r="E22" i="20"/>
  <c r="I7" i="20"/>
  <c r="C30" i="20"/>
  <c r="E13" i="20"/>
  <c r="G24" i="20"/>
  <c r="I23" i="20"/>
  <c r="C24" i="20"/>
  <c r="E24" i="20"/>
  <c r="E32" i="20"/>
  <c r="I21" i="20"/>
  <c r="C32" i="20"/>
  <c r="C29" i="20"/>
  <c r="E29" i="20"/>
  <c r="I28" i="20"/>
  <c r="G29" i="20"/>
  <c r="B93" i="4" l="1"/>
  <c r="B89" i="4"/>
  <c r="B94" i="4"/>
  <c r="B84" i="4"/>
  <c r="B87" i="4"/>
  <c r="B82" i="4"/>
  <c r="B91" i="4"/>
  <c r="B90" i="4"/>
  <c r="B85" i="4"/>
  <c r="B86" i="4"/>
  <c r="B92" i="4"/>
  <c r="B88" i="4"/>
  <c r="B83" i="4"/>
  <c r="B77" i="4"/>
  <c r="B78" i="4"/>
  <c r="B79" i="4"/>
  <c r="B80" i="4"/>
  <c r="B81" i="4"/>
  <c r="D95" i="14"/>
  <c r="F94" i="14"/>
  <c r="F6" i="20"/>
  <c r="F7" i="20" s="1"/>
  <c r="F8" i="20" s="1"/>
  <c r="F9" i="20" s="1"/>
  <c r="F10" i="20" s="1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F26" i="20" s="1"/>
  <c r="F27" i="20" s="1"/>
  <c r="F28" i="20" s="1"/>
  <c r="F29" i="20" s="1"/>
  <c r="F30" i="20" s="1"/>
  <c r="F31" i="20" s="1"/>
  <c r="F32" i="20" s="1"/>
  <c r="F33" i="20" s="1"/>
  <c r="F34" i="20" s="1"/>
  <c r="D15" i="4"/>
  <c r="E15" i="4" s="1"/>
  <c r="J5" i="20"/>
  <c r="B28" i="4"/>
  <c r="B68" i="4"/>
  <c r="B62" i="4"/>
  <c r="B51" i="4"/>
  <c r="B34" i="4"/>
  <c r="B61" i="4"/>
  <c r="B39" i="4"/>
  <c r="B41" i="4"/>
  <c r="B59" i="4"/>
  <c r="B38" i="4"/>
  <c r="B37" i="4"/>
  <c r="B33" i="4"/>
  <c r="C16" i="4"/>
  <c r="D16" i="4" s="1"/>
  <c r="E16" i="4" s="1"/>
  <c r="B48" i="4"/>
  <c r="B47" i="4"/>
  <c r="B67" i="4"/>
  <c r="B24" i="4"/>
  <c r="B18" i="4"/>
  <c r="B20" i="4"/>
  <c r="H16" i="4"/>
  <c r="Z16" i="4" s="1"/>
  <c r="B31" i="4"/>
  <c r="B76" i="4"/>
  <c r="B40" i="4"/>
  <c r="B53" i="4"/>
  <c r="B44" i="4"/>
  <c r="B36" i="4"/>
  <c r="B74" i="4"/>
  <c r="B56" i="4"/>
  <c r="B32" i="4"/>
  <c r="B43" i="4"/>
  <c r="B35" i="4"/>
  <c r="B21" i="4"/>
  <c r="B71" i="4"/>
  <c r="B66" i="4"/>
  <c r="B65" i="4"/>
  <c r="B64" i="4"/>
  <c r="B49" i="4"/>
  <c r="Q16" i="4"/>
  <c r="B29" i="4"/>
  <c r="B17" i="4"/>
  <c r="B46" i="4"/>
  <c r="B54" i="4"/>
  <c r="B23" i="4"/>
  <c r="B72" i="4"/>
  <c r="B52" i="4"/>
  <c r="B75" i="4"/>
  <c r="B50" i="4"/>
  <c r="B25" i="4"/>
  <c r="B57" i="4"/>
  <c r="B73" i="4"/>
  <c r="B58" i="4"/>
  <c r="B69" i="4"/>
  <c r="B27" i="4"/>
  <c r="B19" i="4"/>
  <c r="B60" i="4"/>
  <c r="B55" i="4"/>
  <c r="B63" i="4"/>
  <c r="B26" i="4"/>
  <c r="B42" i="4"/>
  <c r="B30" i="4"/>
  <c r="B22" i="4"/>
  <c r="B45" i="4"/>
  <c r="B70" i="4"/>
  <c r="F16" i="4"/>
  <c r="G16" i="4" s="1"/>
  <c r="H8" i="20"/>
  <c r="C91" i="4" l="1"/>
  <c r="V89" i="4" s="1"/>
  <c r="H91" i="4"/>
  <c r="Z91" i="4" s="1"/>
  <c r="Q91" i="4"/>
  <c r="J90" i="4"/>
  <c r="C82" i="4"/>
  <c r="V80" i="4" s="1"/>
  <c r="Q82" i="4"/>
  <c r="H82" i="4"/>
  <c r="Z82" i="4" s="1"/>
  <c r="H83" i="4"/>
  <c r="Z83" i="4" s="1"/>
  <c r="Q83" i="4"/>
  <c r="J82" i="4"/>
  <c r="C83" i="4"/>
  <c r="Q87" i="4"/>
  <c r="J86" i="4"/>
  <c r="H87" i="4"/>
  <c r="Z87" i="4" s="1"/>
  <c r="C87" i="4"/>
  <c r="J89" i="4"/>
  <c r="H90" i="4"/>
  <c r="Z90" i="4" s="1"/>
  <c r="Q90" i="4"/>
  <c r="C90" i="4"/>
  <c r="V88" i="4" s="1"/>
  <c r="H88" i="4"/>
  <c r="Z88" i="4" s="1"/>
  <c r="C88" i="4"/>
  <c r="J87" i="4"/>
  <c r="Q88" i="4"/>
  <c r="H84" i="4"/>
  <c r="Z84" i="4" s="1"/>
  <c r="C84" i="4"/>
  <c r="Q84" i="4"/>
  <c r="J83" i="4"/>
  <c r="Q92" i="4"/>
  <c r="J91" i="4"/>
  <c r="H92" i="4"/>
  <c r="Z92" i="4" s="1"/>
  <c r="C92" i="4"/>
  <c r="J94" i="4"/>
  <c r="H94" i="4"/>
  <c r="Z94" i="4" s="1"/>
  <c r="C94" i="4"/>
  <c r="J93" i="4"/>
  <c r="Q94" i="4"/>
  <c r="Q86" i="4"/>
  <c r="H86" i="4"/>
  <c r="Z86" i="4" s="1"/>
  <c r="J85" i="4"/>
  <c r="C86" i="4"/>
  <c r="H89" i="4"/>
  <c r="Z89" i="4" s="1"/>
  <c r="J88" i="4"/>
  <c r="Q89" i="4"/>
  <c r="C89" i="4"/>
  <c r="H85" i="4"/>
  <c r="Z85" i="4" s="1"/>
  <c r="Q85" i="4"/>
  <c r="J84" i="4"/>
  <c r="C85" i="4"/>
  <c r="C93" i="4"/>
  <c r="H93" i="4"/>
  <c r="Z93" i="4" s="1"/>
  <c r="Q93" i="4"/>
  <c r="J92" i="4"/>
  <c r="Q81" i="4"/>
  <c r="J80" i="4"/>
  <c r="H81" i="4"/>
  <c r="Z81" i="4" s="1"/>
  <c r="C81" i="4"/>
  <c r="J81" i="4"/>
  <c r="Q80" i="4"/>
  <c r="C80" i="4"/>
  <c r="H80" i="4"/>
  <c r="Z80" i="4" s="1"/>
  <c r="J79" i="4"/>
  <c r="H79" i="4"/>
  <c r="Z79" i="4" s="1"/>
  <c r="C79" i="4"/>
  <c r="Q79" i="4"/>
  <c r="J78" i="4"/>
  <c r="Q78" i="4"/>
  <c r="C78" i="4"/>
  <c r="H78" i="4"/>
  <c r="Z78" i="4" s="1"/>
  <c r="J77" i="4"/>
  <c r="C77" i="4"/>
  <c r="V75" i="4" s="1"/>
  <c r="Q77" i="4"/>
  <c r="H77" i="4"/>
  <c r="Z77" i="4" s="1"/>
  <c r="J7" i="20"/>
  <c r="J6" i="20"/>
  <c r="D96" i="14"/>
  <c r="F95" i="14"/>
  <c r="C48" i="4"/>
  <c r="V46" i="4" s="1"/>
  <c r="J47" i="4"/>
  <c r="H48" i="4"/>
  <c r="Z48" i="4" s="1"/>
  <c r="Q48" i="4"/>
  <c r="J71" i="4"/>
  <c r="H72" i="4"/>
  <c r="Z72" i="4" s="1"/>
  <c r="Q72" i="4"/>
  <c r="C72" i="4"/>
  <c r="V70" i="4" s="1"/>
  <c r="H23" i="4"/>
  <c r="Z23" i="4" s="1"/>
  <c r="C23" i="4"/>
  <c r="V21" i="4" s="1"/>
  <c r="Q23" i="4"/>
  <c r="J22" i="4"/>
  <c r="J53" i="4"/>
  <c r="C54" i="4"/>
  <c r="V52" i="4" s="1"/>
  <c r="H54" i="4"/>
  <c r="Z54" i="4" s="1"/>
  <c r="Q54" i="4"/>
  <c r="B13" i="4"/>
  <c r="H26" i="3" s="1"/>
  <c r="G10" i="1" s="1"/>
  <c r="Q47" i="4"/>
  <c r="H47" i="4"/>
  <c r="Z47" i="4" s="1"/>
  <c r="J46" i="4"/>
  <c r="C47" i="4"/>
  <c r="V45" i="4" s="1"/>
  <c r="Q42" i="4"/>
  <c r="H42" i="4"/>
  <c r="Z42" i="4" s="1"/>
  <c r="J41" i="4"/>
  <c r="C42" i="4"/>
  <c r="V40" i="4" s="1"/>
  <c r="H26" i="4"/>
  <c r="Z26" i="4" s="1"/>
  <c r="Q26" i="4"/>
  <c r="J25" i="4"/>
  <c r="C26" i="4"/>
  <c r="V24" i="4" s="1"/>
  <c r="H43" i="4"/>
  <c r="Z43" i="4" s="1"/>
  <c r="Q43" i="4"/>
  <c r="J42" i="4"/>
  <c r="C43" i="4"/>
  <c r="V41" i="4" s="1"/>
  <c r="J30" i="4"/>
  <c r="C30" i="4"/>
  <c r="V28" i="4" s="1"/>
  <c r="Q30" i="4"/>
  <c r="J29" i="4"/>
  <c r="H30" i="4"/>
  <c r="Z30" i="4" s="1"/>
  <c r="Q32" i="4"/>
  <c r="J31" i="4"/>
  <c r="H32" i="4"/>
  <c r="Z32" i="4" s="1"/>
  <c r="C32" i="4"/>
  <c r="V30" i="4" s="1"/>
  <c r="Q56" i="4"/>
  <c r="C56" i="4"/>
  <c r="V54" i="4" s="1"/>
  <c r="J55" i="4"/>
  <c r="H56" i="4"/>
  <c r="Z56" i="4" s="1"/>
  <c r="J45" i="4"/>
  <c r="H46" i="4"/>
  <c r="Z46" i="4" s="1"/>
  <c r="C46" i="4"/>
  <c r="V44" i="4" s="1"/>
  <c r="Q46" i="4"/>
  <c r="J36" i="4"/>
  <c r="J35" i="4"/>
  <c r="H36" i="4"/>
  <c r="Z36" i="4" s="1"/>
  <c r="Q36" i="4"/>
  <c r="C36" i="4"/>
  <c r="V34" i="4" s="1"/>
  <c r="H60" i="4"/>
  <c r="Z60" i="4" s="1"/>
  <c r="J59" i="4"/>
  <c r="Q60" i="4"/>
  <c r="C60" i="4"/>
  <c r="V58" i="4" s="1"/>
  <c r="J18" i="4"/>
  <c r="H19" i="4"/>
  <c r="Z19" i="4" s="1"/>
  <c r="Q19" i="4"/>
  <c r="C19" i="4"/>
  <c r="V17" i="4" s="1"/>
  <c r="C44" i="4"/>
  <c r="V42" i="4" s="1"/>
  <c r="J43" i="4"/>
  <c r="Q44" i="4"/>
  <c r="H44" i="4"/>
  <c r="Z44" i="4" s="1"/>
  <c r="Q63" i="4"/>
  <c r="C63" i="4"/>
  <c r="V61" i="4" s="1"/>
  <c r="J62" i="4"/>
  <c r="H63" i="4"/>
  <c r="Z63" i="4" s="1"/>
  <c r="H33" i="4"/>
  <c r="Z33" i="4" s="1"/>
  <c r="C33" i="4"/>
  <c r="V31" i="4" s="1"/>
  <c r="J32" i="4"/>
  <c r="Q33" i="4"/>
  <c r="J54" i="4"/>
  <c r="H55" i="4"/>
  <c r="Z55" i="4" s="1"/>
  <c r="Q55" i="4"/>
  <c r="C55" i="4"/>
  <c r="V53" i="4" s="1"/>
  <c r="C38" i="4"/>
  <c r="V36" i="4" s="1"/>
  <c r="J37" i="4"/>
  <c r="Q38" i="4"/>
  <c r="H38" i="4"/>
  <c r="Z38" i="4" s="1"/>
  <c r="C59" i="4"/>
  <c r="V57" i="4" s="1"/>
  <c r="Q59" i="4"/>
  <c r="J58" i="4"/>
  <c r="H59" i="4"/>
  <c r="Z59" i="4" s="1"/>
  <c r="C74" i="4"/>
  <c r="V72" i="4" s="1"/>
  <c r="Q74" i="4"/>
  <c r="H74" i="4"/>
  <c r="Z74" i="4" s="1"/>
  <c r="J73" i="4"/>
  <c r="H37" i="4"/>
  <c r="Z37" i="4" s="1"/>
  <c r="C37" i="4"/>
  <c r="V35" i="4" s="1"/>
  <c r="Q37" i="4"/>
  <c r="Q17" i="4"/>
  <c r="I17" i="4"/>
  <c r="J16" i="4"/>
  <c r="K16" i="4" s="1"/>
  <c r="C17" i="4"/>
  <c r="D17" i="4" s="1"/>
  <c r="E17" i="4" s="1"/>
  <c r="H17" i="4"/>
  <c r="Z17" i="4" s="1"/>
  <c r="J27" i="4"/>
  <c r="H27" i="4"/>
  <c r="Z27" i="4" s="1"/>
  <c r="J26" i="4"/>
  <c r="C27" i="4"/>
  <c r="V25" i="4" s="1"/>
  <c r="Q27" i="4"/>
  <c r="H41" i="4"/>
  <c r="Z41" i="4" s="1"/>
  <c r="Q41" i="4"/>
  <c r="C41" i="4"/>
  <c r="V39" i="4" s="1"/>
  <c r="J40" i="4"/>
  <c r="J68" i="4"/>
  <c r="C69" i="4"/>
  <c r="V67" i="4" s="1"/>
  <c r="Q69" i="4"/>
  <c r="H69" i="4"/>
  <c r="Z69" i="4" s="1"/>
  <c r="H58" i="4"/>
  <c r="Z58" i="4" s="1"/>
  <c r="C58" i="4"/>
  <c r="V56" i="4" s="1"/>
  <c r="Q58" i="4"/>
  <c r="J57" i="4"/>
  <c r="Q49" i="4"/>
  <c r="J48" i="4"/>
  <c r="C49" i="4"/>
  <c r="V47" i="4" s="1"/>
  <c r="H49" i="4"/>
  <c r="Z49" i="4" s="1"/>
  <c r="C53" i="4"/>
  <c r="V51" i="4" s="1"/>
  <c r="Q53" i="4"/>
  <c r="J52" i="4"/>
  <c r="H53" i="4"/>
  <c r="Z53" i="4" s="1"/>
  <c r="C40" i="4"/>
  <c r="V38" i="4" s="1"/>
  <c r="Q40" i="4"/>
  <c r="H40" i="4"/>
  <c r="Z40" i="4" s="1"/>
  <c r="J39" i="4"/>
  <c r="J60" i="4"/>
  <c r="H61" i="4"/>
  <c r="Z61" i="4" s="1"/>
  <c r="Q61" i="4"/>
  <c r="C61" i="4"/>
  <c r="V59" i="4" s="1"/>
  <c r="J28" i="4"/>
  <c r="H29" i="4"/>
  <c r="Z29" i="4" s="1"/>
  <c r="C29" i="4"/>
  <c r="Q29" i="4"/>
  <c r="C39" i="4"/>
  <c r="V37" i="4" s="1"/>
  <c r="J38" i="4"/>
  <c r="Q39" i="4"/>
  <c r="H39" i="4"/>
  <c r="Z39" i="4" s="1"/>
  <c r="Q76" i="4"/>
  <c r="J75" i="4"/>
  <c r="J76" i="4"/>
  <c r="C76" i="4"/>
  <c r="V74" i="4" s="1"/>
  <c r="H76" i="4"/>
  <c r="Z76" i="4" s="1"/>
  <c r="C73" i="4"/>
  <c r="V71" i="4" s="1"/>
  <c r="H73" i="4"/>
  <c r="Z73" i="4" s="1"/>
  <c r="J72" i="4"/>
  <c r="Q73" i="4"/>
  <c r="H51" i="4"/>
  <c r="Z51" i="4" s="1"/>
  <c r="Q51" i="4"/>
  <c r="C51" i="4"/>
  <c r="V49" i="4" s="1"/>
  <c r="J50" i="4"/>
  <c r="F17" i="4"/>
  <c r="G17" i="4" s="1"/>
  <c r="O17" i="4" s="1"/>
  <c r="Q25" i="4"/>
  <c r="C25" i="4"/>
  <c r="V23" i="4" s="1"/>
  <c r="H25" i="4"/>
  <c r="Z25" i="4" s="1"/>
  <c r="J24" i="4"/>
  <c r="Q66" i="4"/>
  <c r="H66" i="4"/>
  <c r="Z66" i="4" s="1"/>
  <c r="C66" i="4"/>
  <c r="V64" i="4" s="1"/>
  <c r="J65" i="4"/>
  <c r="Q20" i="4"/>
  <c r="C20" i="4"/>
  <c r="V18" i="4" s="1"/>
  <c r="H20" i="4"/>
  <c r="Z20" i="4" s="1"/>
  <c r="J19" i="4"/>
  <c r="C62" i="4"/>
  <c r="V60" i="4" s="1"/>
  <c r="J61" i="4"/>
  <c r="Q62" i="4"/>
  <c r="H62" i="4"/>
  <c r="Z62" i="4" s="1"/>
  <c r="Q31" i="4"/>
  <c r="C31" i="4"/>
  <c r="V29" i="4" s="1"/>
  <c r="H31" i="4"/>
  <c r="Z31" i="4" s="1"/>
  <c r="H57" i="4"/>
  <c r="Z57" i="4" s="1"/>
  <c r="C57" i="4"/>
  <c r="V55" i="4" s="1"/>
  <c r="J56" i="4"/>
  <c r="Q57" i="4"/>
  <c r="H70" i="4"/>
  <c r="Z70" i="4" s="1"/>
  <c r="C70" i="4"/>
  <c r="J69" i="4"/>
  <c r="Q70" i="4"/>
  <c r="J49" i="4"/>
  <c r="H50" i="4"/>
  <c r="Z50" i="4" s="1"/>
  <c r="Q50" i="4"/>
  <c r="C50" i="4"/>
  <c r="H71" i="4"/>
  <c r="Z71" i="4" s="1"/>
  <c r="J70" i="4"/>
  <c r="Q71" i="4"/>
  <c r="C71" i="4"/>
  <c r="V69" i="4" s="1"/>
  <c r="J17" i="4"/>
  <c r="Q18" i="4"/>
  <c r="C18" i="4"/>
  <c r="H18" i="4"/>
  <c r="Z18" i="4" s="1"/>
  <c r="H68" i="4"/>
  <c r="Z68" i="4" s="1"/>
  <c r="Q68" i="4"/>
  <c r="J67" i="4"/>
  <c r="C68" i="4"/>
  <c r="V66" i="4" s="1"/>
  <c r="H34" i="4"/>
  <c r="Z34" i="4" s="1"/>
  <c r="Q34" i="4"/>
  <c r="C34" i="4"/>
  <c r="V32" i="4" s="1"/>
  <c r="J33" i="4"/>
  <c r="C65" i="4"/>
  <c r="V63" i="4" s="1"/>
  <c r="Q65" i="4"/>
  <c r="H65" i="4"/>
  <c r="Z65" i="4" s="1"/>
  <c r="J64" i="4"/>
  <c r="Q45" i="4"/>
  <c r="J44" i="4"/>
  <c r="C45" i="4"/>
  <c r="V43" i="4" s="1"/>
  <c r="H45" i="4"/>
  <c r="Z45" i="4" s="1"/>
  <c r="C75" i="4"/>
  <c r="Q75" i="4"/>
  <c r="H75" i="4"/>
  <c r="Z75" i="4" s="1"/>
  <c r="J74" i="4"/>
  <c r="C21" i="4"/>
  <c r="V19" i="4" s="1"/>
  <c r="H21" i="4"/>
  <c r="Z21" i="4" s="1"/>
  <c r="J20" i="4"/>
  <c r="Q21" i="4"/>
  <c r="J23" i="4"/>
  <c r="H24" i="4"/>
  <c r="Z24" i="4" s="1"/>
  <c r="C24" i="4"/>
  <c r="Q24" i="4"/>
  <c r="Q28" i="4"/>
  <c r="C28" i="4"/>
  <c r="V26" i="4" s="1"/>
  <c r="H28" i="4"/>
  <c r="Z28" i="4" s="1"/>
  <c r="J63" i="4"/>
  <c r="H64" i="4"/>
  <c r="Z64" i="4" s="1"/>
  <c r="Q64" i="4"/>
  <c r="C64" i="4"/>
  <c r="V62" i="4" s="1"/>
  <c r="H22" i="4"/>
  <c r="Z22" i="4" s="1"/>
  <c r="Q22" i="4"/>
  <c r="J21" i="4"/>
  <c r="C22" i="4"/>
  <c r="H52" i="4"/>
  <c r="Z52" i="4" s="1"/>
  <c r="Q52" i="4"/>
  <c r="J51" i="4"/>
  <c r="C52" i="4"/>
  <c r="J34" i="4"/>
  <c r="H35" i="4"/>
  <c r="Z35" i="4" s="1"/>
  <c r="Q35" i="4"/>
  <c r="C35" i="4"/>
  <c r="V33" i="4" s="1"/>
  <c r="H67" i="4"/>
  <c r="Z67" i="4" s="1"/>
  <c r="C67" i="4"/>
  <c r="Q67" i="4"/>
  <c r="J66" i="4"/>
  <c r="J8" i="20"/>
  <c r="H9" i="20"/>
  <c r="D90" i="4" l="1"/>
  <c r="W88" i="4" s="1"/>
  <c r="X88" i="4" s="1"/>
  <c r="V87" i="4"/>
  <c r="D89" i="4"/>
  <c r="V86" i="4"/>
  <c r="D88" i="4"/>
  <c r="V81" i="4"/>
  <c r="D83" i="4"/>
  <c r="V91" i="4"/>
  <c r="D93" i="4"/>
  <c r="V92" i="4"/>
  <c r="D94" i="4"/>
  <c r="V83" i="4"/>
  <c r="D85" i="4"/>
  <c r="V84" i="4"/>
  <c r="D86" i="4"/>
  <c r="V82" i="4"/>
  <c r="D84" i="4"/>
  <c r="D91" i="4"/>
  <c r="V90" i="4"/>
  <c r="D92" i="4"/>
  <c r="V85" i="4"/>
  <c r="D87" i="4"/>
  <c r="D82" i="4"/>
  <c r="D77" i="4"/>
  <c r="W75" i="4" s="1"/>
  <c r="X75" i="4" s="1"/>
  <c r="V78" i="4"/>
  <c r="D80" i="4"/>
  <c r="V77" i="4"/>
  <c r="D79" i="4"/>
  <c r="V76" i="4"/>
  <c r="D78" i="4"/>
  <c r="V79" i="4"/>
  <c r="D81" i="4"/>
  <c r="D53" i="4"/>
  <c r="D54" i="4"/>
  <c r="D48" i="4"/>
  <c r="W46" i="4" s="1"/>
  <c r="X46" i="4" s="1"/>
  <c r="A81" i="14"/>
  <c r="A73" i="14"/>
  <c r="A65" i="14"/>
  <c r="A57" i="14"/>
  <c r="A49" i="14"/>
  <c r="A41" i="14"/>
  <c r="A33" i="14"/>
  <c r="A25" i="14"/>
  <c r="A17" i="14"/>
  <c r="A9" i="14"/>
  <c r="A89" i="14"/>
  <c r="A46" i="14"/>
  <c r="A40" i="14"/>
  <c r="A34" i="14"/>
  <c r="A28" i="14"/>
  <c r="A24" i="14"/>
  <c r="A12" i="14"/>
  <c r="A95" i="14"/>
  <c r="A91" i="14"/>
  <c r="A69" i="14"/>
  <c r="A63" i="14"/>
  <c r="A14" i="14"/>
  <c r="A67" i="14"/>
  <c r="A55" i="14"/>
  <c r="A59" i="14"/>
  <c r="A53" i="14"/>
  <c r="A39" i="14"/>
  <c r="A87" i="14"/>
  <c r="A38" i="14"/>
  <c r="A32" i="14"/>
  <c r="A26" i="14"/>
  <c r="A20" i="14"/>
  <c r="A85" i="14"/>
  <c r="A79" i="14"/>
  <c r="A30" i="14"/>
  <c r="A18" i="14"/>
  <c r="A83" i="14"/>
  <c r="A77" i="14"/>
  <c r="A71" i="14"/>
  <c r="A22" i="14"/>
  <c r="A16" i="14"/>
  <c r="A10" i="14"/>
  <c r="A93" i="14"/>
  <c r="A75" i="14"/>
  <c r="A61" i="14"/>
  <c r="A47" i="14"/>
  <c r="A51" i="14"/>
  <c r="A45" i="14"/>
  <c r="A43" i="14"/>
  <c r="A31" i="14"/>
  <c r="A70" i="14"/>
  <c r="A58" i="14"/>
  <c r="A62" i="14"/>
  <c r="A50" i="14"/>
  <c r="A42" i="14"/>
  <c r="A88" i="14"/>
  <c r="A76" i="14"/>
  <c r="A21" i="14"/>
  <c r="A80" i="14"/>
  <c r="A68" i="14"/>
  <c r="A13" i="14"/>
  <c r="A64" i="14"/>
  <c r="A52" i="14"/>
  <c r="A35" i="14"/>
  <c r="A23" i="14"/>
  <c r="A90" i="14"/>
  <c r="A82" i="14"/>
  <c r="A27" i="14"/>
  <c r="A15" i="14"/>
  <c r="A94" i="14"/>
  <c r="A86" i="14"/>
  <c r="A74" i="14"/>
  <c r="A19" i="14"/>
  <c r="A78" i="14"/>
  <c r="A66" i="14"/>
  <c r="A11" i="14"/>
  <c r="A54" i="14"/>
  <c r="A37" i="14"/>
  <c r="A84" i="14"/>
  <c r="A29" i="14"/>
  <c r="A92" i="14"/>
  <c r="A72" i="14"/>
  <c r="A60" i="14"/>
  <c r="A56" i="14"/>
  <c r="A44" i="14"/>
  <c r="A48" i="14"/>
  <c r="A36" i="14"/>
  <c r="D97" i="14"/>
  <c r="F96" i="14"/>
  <c r="A96" i="14" s="1"/>
  <c r="D74" i="4"/>
  <c r="W72" i="4" s="1"/>
  <c r="X72" i="4" s="1"/>
  <c r="D56" i="4"/>
  <c r="W54" i="4" s="1"/>
  <c r="X54" i="4" s="1"/>
  <c r="D47" i="4"/>
  <c r="E47" i="4" s="1"/>
  <c r="D66" i="4"/>
  <c r="W64" i="4" s="1"/>
  <c r="X64" i="4" s="1"/>
  <c r="D62" i="4"/>
  <c r="E62" i="4" s="1"/>
  <c r="D59" i="4"/>
  <c r="W57" i="4" s="1"/>
  <c r="X57" i="4" s="1"/>
  <c r="D63" i="4"/>
  <c r="E63" i="4" s="1"/>
  <c r="D69" i="4"/>
  <c r="W67" i="4" s="1"/>
  <c r="X67" i="4" s="1"/>
  <c r="D35" i="4"/>
  <c r="W33" i="4" s="1"/>
  <c r="X33" i="4" s="1"/>
  <c r="D46" i="4"/>
  <c r="D39" i="4"/>
  <c r="W37" i="4" s="1"/>
  <c r="X37" i="4" s="1"/>
  <c r="D42" i="4"/>
  <c r="E42" i="4" s="1"/>
  <c r="D34" i="4"/>
  <c r="W32" i="4" s="1"/>
  <c r="X32" i="4" s="1"/>
  <c r="D27" i="4"/>
  <c r="D30" i="4"/>
  <c r="W28" i="4" s="1"/>
  <c r="X28" i="4" s="1"/>
  <c r="D73" i="4"/>
  <c r="E73" i="4" s="1"/>
  <c r="D28" i="4"/>
  <c r="E28" i="4" s="1"/>
  <c r="D76" i="4"/>
  <c r="E76" i="4" s="1"/>
  <c r="D61" i="4"/>
  <c r="D45" i="4"/>
  <c r="E45" i="4" s="1"/>
  <c r="D68" i="4"/>
  <c r="W66" i="4" s="1"/>
  <c r="X66" i="4" s="1"/>
  <c r="D49" i="4"/>
  <c r="W47" i="4" s="1"/>
  <c r="X47" i="4" s="1"/>
  <c r="D38" i="4"/>
  <c r="D26" i="4"/>
  <c r="D57" i="4"/>
  <c r="W55" i="4" s="1"/>
  <c r="X55" i="4" s="1"/>
  <c r="D51" i="4"/>
  <c r="E51" i="4" s="1"/>
  <c r="D36" i="4"/>
  <c r="W34" i="4" s="1"/>
  <c r="X34" i="4" s="1"/>
  <c r="D55" i="4"/>
  <c r="W53" i="4" s="1"/>
  <c r="X53" i="4" s="1"/>
  <c r="AA17" i="4"/>
  <c r="K17" i="4"/>
  <c r="V22" i="4"/>
  <c r="D24" i="4"/>
  <c r="V68" i="4"/>
  <c r="D70" i="4"/>
  <c r="V16" i="4"/>
  <c r="Y16" i="4" s="1"/>
  <c r="D18" i="4"/>
  <c r="D41" i="4"/>
  <c r="D19" i="4"/>
  <c r="D25" i="4"/>
  <c r="F18" i="4"/>
  <c r="G18" i="4" s="1"/>
  <c r="O18" i="4" s="1"/>
  <c r="V50" i="4"/>
  <c r="D52" i="4"/>
  <c r="D31" i="4"/>
  <c r="V27" i="4"/>
  <c r="D29" i="4"/>
  <c r="V65" i="4"/>
  <c r="D67" i="4"/>
  <c r="D64" i="4"/>
  <c r="D72" i="4"/>
  <c r="D37" i="4"/>
  <c r="D21" i="4"/>
  <c r="J13" i="4"/>
  <c r="D60" i="4"/>
  <c r="D23" i="4"/>
  <c r="D71" i="4"/>
  <c r="D32" i="4"/>
  <c r="D65" i="4"/>
  <c r="V48" i="4"/>
  <c r="D50" i="4"/>
  <c r="V73" i="4"/>
  <c r="D75" i="4"/>
  <c r="H12" i="4"/>
  <c r="V20" i="4"/>
  <c r="D22" i="4"/>
  <c r="D43" i="4"/>
  <c r="I18" i="4"/>
  <c r="D33" i="4"/>
  <c r="D58" i="4"/>
  <c r="D20" i="4"/>
  <c r="D40" i="4"/>
  <c r="D44" i="4"/>
  <c r="J9" i="20"/>
  <c r="H10" i="20"/>
  <c r="E90" i="4" l="1"/>
  <c r="W86" i="4"/>
  <c r="X86" i="4" s="1"/>
  <c r="E88" i="4"/>
  <c r="E86" i="4"/>
  <c r="W84" i="4"/>
  <c r="X84" i="4" s="1"/>
  <c r="W83" i="4"/>
  <c r="X83" i="4" s="1"/>
  <c r="E85" i="4"/>
  <c r="W91" i="4"/>
  <c r="X91" i="4" s="1"/>
  <c r="E93" i="4"/>
  <c r="W81" i="4"/>
  <c r="X81" i="4" s="1"/>
  <c r="E83" i="4"/>
  <c r="E92" i="4"/>
  <c r="W90" i="4"/>
  <c r="X90" i="4" s="1"/>
  <c r="W80" i="4"/>
  <c r="X80" i="4" s="1"/>
  <c r="E82" i="4"/>
  <c r="E89" i="4"/>
  <c r="W87" i="4"/>
  <c r="X87" i="4" s="1"/>
  <c r="E87" i="4"/>
  <c r="W85" i="4"/>
  <c r="X85" i="4" s="1"/>
  <c r="W89" i="4"/>
  <c r="X89" i="4" s="1"/>
  <c r="E91" i="4"/>
  <c r="W82" i="4"/>
  <c r="X82" i="4" s="1"/>
  <c r="E84" i="4"/>
  <c r="W92" i="4"/>
  <c r="X92" i="4" s="1"/>
  <c r="E94" i="4"/>
  <c r="E77" i="4"/>
  <c r="W79" i="4"/>
  <c r="X79" i="4" s="1"/>
  <c r="E81" i="4"/>
  <c r="E78" i="4"/>
  <c r="W76" i="4"/>
  <c r="X76" i="4" s="1"/>
  <c r="E79" i="4"/>
  <c r="W77" i="4"/>
  <c r="X77" i="4" s="1"/>
  <c r="W78" i="4"/>
  <c r="X78" i="4" s="1"/>
  <c r="E80" i="4"/>
  <c r="H13" i="4"/>
  <c r="W51" i="4"/>
  <c r="X51" i="4" s="1"/>
  <c r="E53" i="4"/>
  <c r="W52" i="4"/>
  <c r="X52" i="4" s="1"/>
  <c r="E54" i="4"/>
  <c r="E48" i="4"/>
  <c r="D98" i="14"/>
  <c r="F97" i="14"/>
  <c r="A97" i="14" s="1"/>
  <c r="E69" i="4"/>
  <c r="E74" i="4"/>
  <c r="E56" i="4"/>
  <c r="W60" i="4"/>
  <c r="X60" i="4" s="1"/>
  <c r="W61" i="4"/>
  <c r="X61" i="4" s="1"/>
  <c r="E59" i="4"/>
  <c r="E66" i="4"/>
  <c r="W45" i="4"/>
  <c r="X45" i="4" s="1"/>
  <c r="E39" i="4"/>
  <c r="W40" i="4"/>
  <c r="X40" i="4" s="1"/>
  <c r="E35" i="4"/>
  <c r="W71" i="4"/>
  <c r="X71" i="4" s="1"/>
  <c r="E30" i="4"/>
  <c r="W49" i="4"/>
  <c r="X49" i="4" s="1"/>
  <c r="W26" i="4"/>
  <c r="X26" i="4" s="1"/>
  <c r="W44" i="4"/>
  <c r="X44" i="4" s="1"/>
  <c r="E46" i="4"/>
  <c r="E36" i="4"/>
  <c r="W43" i="4"/>
  <c r="X43" i="4" s="1"/>
  <c r="E55" i="4"/>
  <c r="E34" i="4"/>
  <c r="W74" i="4"/>
  <c r="X74" i="4" s="1"/>
  <c r="W25" i="4"/>
  <c r="X25" i="4" s="1"/>
  <c r="E27" i="4"/>
  <c r="W24" i="4"/>
  <c r="X24" i="4" s="1"/>
  <c r="E26" i="4"/>
  <c r="E49" i="4"/>
  <c r="W36" i="4"/>
  <c r="X36" i="4" s="1"/>
  <c r="E38" i="4"/>
  <c r="W59" i="4"/>
  <c r="X59" i="4" s="1"/>
  <c r="E61" i="4"/>
  <c r="E68" i="4"/>
  <c r="E57" i="4"/>
  <c r="W48" i="4"/>
  <c r="X48" i="4" s="1"/>
  <c r="E50" i="4"/>
  <c r="E22" i="4"/>
  <c r="W20" i="4"/>
  <c r="X20" i="4" s="1"/>
  <c r="W16" i="4"/>
  <c r="X16" i="4" s="1"/>
  <c r="Y17" i="4" s="1"/>
  <c r="E18" i="4"/>
  <c r="F19" i="4" s="1"/>
  <c r="G19" i="4" s="1"/>
  <c r="O19" i="4" s="1"/>
  <c r="W29" i="4"/>
  <c r="X29" i="4" s="1"/>
  <c r="E31" i="4"/>
  <c r="W70" i="4"/>
  <c r="X70" i="4" s="1"/>
  <c r="E72" i="4"/>
  <c r="E24" i="4"/>
  <c r="W22" i="4"/>
  <c r="X22" i="4" s="1"/>
  <c r="W31" i="4"/>
  <c r="X31" i="4" s="1"/>
  <c r="E33" i="4"/>
  <c r="W19" i="4"/>
  <c r="X19" i="4" s="1"/>
  <c r="E21" i="4"/>
  <c r="AB16" i="4"/>
  <c r="W62" i="4"/>
  <c r="X62" i="4" s="1"/>
  <c r="E64" i="4"/>
  <c r="W30" i="4"/>
  <c r="X30" i="4" s="1"/>
  <c r="E32" i="4"/>
  <c r="W69" i="4"/>
  <c r="X69" i="4" s="1"/>
  <c r="E71" i="4"/>
  <c r="E67" i="4"/>
  <c r="W65" i="4"/>
  <c r="X65" i="4" s="1"/>
  <c r="W73" i="4"/>
  <c r="X73" i="4" s="1"/>
  <c r="E75" i="4"/>
  <c r="E29" i="4"/>
  <c r="W27" i="4"/>
  <c r="X27" i="4" s="1"/>
  <c r="W41" i="4"/>
  <c r="X41" i="4" s="1"/>
  <c r="E43" i="4"/>
  <c r="W17" i="4"/>
  <c r="X17" i="4" s="1"/>
  <c r="E19" i="4"/>
  <c r="W63" i="4"/>
  <c r="X63" i="4" s="1"/>
  <c r="E65" i="4"/>
  <c r="W18" i="4"/>
  <c r="X18" i="4" s="1"/>
  <c r="E20" i="4"/>
  <c r="E52" i="4"/>
  <c r="W50" i="4"/>
  <c r="X50" i="4" s="1"/>
  <c r="W42" i="4"/>
  <c r="X42" i="4" s="1"/>
  <c r="E44" i="4"/>
  <c r="K18" i="4"/>
  <c r="I19" i="4"/>
  <c r="AA18" i="4"/>
  <c r="W23" i="4"/>
  <c r="X23" i="4" s="1"/>
  <c r="E25" i="4"/>
  <c r="W58" i="4"/>
  <c r="X58" i="4" s="1"/>
  <c r="E60" i="4"/>
  <c r="W39" i="4"/>
  <c r="X39" i="4" s="1"/>
  <c r="E41" i="4"/>
  <c r="W35" i="4"/>
  <c r="X35" i="4" s="1"/>
  <c r="E37" i="4"/>
  <c r="W68" i="4"/>
  <c r="X68" i="4" s="1"/>
  <c r="E70" i="4"/>
  <c r="W56" i="4"/>
  <c r="X56" i="4" s="1"/>
  <c r="E58" i="4"/>
  <c r="W21" i="4"/>
  <c r="X21" i="4" s="1"/>
  <c r="E23" i="4"/>
  <c r="W38" i="4"/>
  <c r="X38" i="4" s="1"/>
  <c r="E40" i="4"/>
  <c r="J10" i="20"/>
  <c r="H11" i="20"/>
  <c r="D99" i="14" l="1"/>
  <c r="F98" i="14"/>
  <c r="A98" i="14" s="1"/>
  <c r="F20" i="4"/>
  <c r="AB17" i="4"/>
  <c r="Y18" i="4"/>
  <c r="K19" i="4"/>
  <c r="AA19" i="4"/>
  <c r="I20" i="4"/>
  <c r="J11" i="20"/>
  <c r="H12" i="20"/>
  <c r="F21" i="4" l="1"/>
  <c r="G20" i="4"/>
  <c r="K20" i="4" s="1"/>
  <c r="D100" i="14"/>
  <c r="F99" i="14"/>
  <c r="A99" i="14" s="1"/>
  <c r="I21" i="4"/>
  <c r="AA20" i="4"/>
  <c r="Y19" i="4"/>
  <c r="AB18" i="4"/>
  <c r="J12" i="20"/>
  <c r="H13" i="20"/>
  <c r="O20" i="4" l="1"/>
  <c r="F22" i="4"/>
  <c r="G21" i="4"/>
  <c r="K21" i="4" s="1"/>
  <c r="D101" i="14"/>
  <c r="F100" i="14"/>
  <c r="A100" i="14" s="1"/>
  <c r="Y20" i="4"/>
  <c r="AB19" i="4"/>
  <c r="AA21" i="4"/>
  <c r="I22" i="4"/>
  <c r="J13" i="20"/>
  <c r="H14" i="20"/>
  <c r="F23" i="4" l="1"/>
  <c r="G22" i="4"/>
  <c r="K22" i="4" s="1"/>
  <c r="O21" i="4"/>
  <c r="D102" i="14"/>
  <c r="F101" i="14"/>
  <c r="A101" i="14" s="1"/>
  <c r="AA22" i="4"/>
  <c r="I23" i="4"/>
  <c r="Y21" i="4"/>
  <c r="AB20" i="4"/>
  <c r="J14" i="20"/>
  <c r="H15" i="20"/>
  <c r="F24" i="4" l="1"/>
  <c r="G23" i="4"/>
  <c r="K23" i="4" s="1"/>
  <c r="O22" i="4"/>
  <c r="D103" i="14"/>
  <c r="F102" i="14"/>
  <c r="A102" i="14" s="1"/>
  <c r="Y22" i="4"/>
  <c r="AB21" i="4"/>
  <c r="I24" i="4"/>
  <c r="AA23" i="4"/>
  <c r="J15" i="20"/>
  <c r="H16" i="20"/>
  <c r="F25" i="4" l="1"/>
  <c r="G24" i="4"/>
  <c r="O24" i="4" s="1"/>
  <c r="O23" i="4"/>
  <c r="D104" i="14"/>
  <c r="F103" i="14"/>
  <c r="A103" i="14" s="1"/>
  <c r="AA24" i="4"/>
  <c r="I25" i="4"/>
  <c r="Y23" i="4"/>
  <c r="AB22" i="4"/>
  <c r="J16" i="20"/>
  <c r="H17" i="20"/>
  <c r="K24" i="4" l="1"/>
  <c r="F26" i="4"/>
  <c r="G25" i="4"/>
  <c r="K25" i="4" s="1"/>
  <c r="D105" i="14"/>
  <c r="F104" i="14"/>
  <c r="A104" i="14" s="1"/>
  <c r="AB23" i="4"/>
  <c r="Y24" i="4"/>
  <c r="AA25" i="4"/>
  <c r="I26" i="4"/>
  <c r="J17" i="20"/>
  <c r="H18" i="20"/>
  <c r="O25" i="4" l="1"/>
  <c r="G26" i="4"/>
  <c r="O26" i="4" s="1"/>
  <c r="F27" i="4"/>
  <c r="D106" i="14"/>
  <c r="F105" i="14"/>
  <c r="A105" i="14" s="1"/>
  <c r="I27" i="4"/>
  <c r="AA26" i="4"/>
  <c r="Y25" i="4"/>
  <c r="AB24" i="4"/>
  <c r="J18" i="20"/>
  <c r="H19" i="20"/>
  <c r="K26" i="4" l="1"/>
  <c r="F28" i="4"/>
  <c r="G27" i="4"/>
  <c r="K27" i="4" s="1"/>
  <c r="D107" i="14"/>
  <c r="F106" i="14"/>
  <c r="A106" i="14" s="1"/>
  <c r="Y26" i="4"/>
  <c r="AB25" i="4"/>
  <c r="AA27" i="4"/>
  <c r="I28" i="4"/>
  <c r="J19" i="20"/>
  <c r="H20" i="20"/>
  <c r="O27" i="4" l="1"/>
  <c r="F29" i="4"/>
  <c r="G28" i="4"/>
  <c r="K28" i="4" s="1"/>
  <c r="D108" i="14"/>
  <c r="F107" i="14"/>
  <c r="A107" i="14" s="1"/>
  <c r="I29" i="4"/>
  <c r="AA28" i="4"/>
  <c r="Y27" i="4"/>
  <c r="AB26" i="4"/>
  <c r="J20" i="20"/>
  <c r="H21" i="20"/>
  <c r="F30" i="4" l="1"/>
  <c r="G29" i="4"/>
  <c r="O29" i="4" s="1"/>
  <c r="O28" i="4"/>
  <c r="D109" i="14"/>
  <c r="F108" i="14"/>
  <c r="A108" i="14" s="1"/>
  <c r="Y28" i="4"/>
  <c r="AB27" i="4"/>
  <c r="AA29" i="4"/>
  <c r="I30" i="4"/>
  <c r="J21" i="20"/>
  <c r="H22" i="20"/>
  <c r="K29" i="4" l="1"/>
  <c r="F31" i="4"/>
  <c r="G30" i="4"/>
  <c r="O30" i="4" s="1"/>
  <c r="D110" i="14"/>
  <c r="F109" i="14"/>
  <c r="A109" i="14" s="1"/>
  <c r="I31" i="4"/>
  <c r="AA30" i="4"/>
  <c r="Y29" i="4"/>
  <c r="AB28" i="4"/>
  <c r="J22" i="20"/>
  <c r="H23" i="20"/>
  <c r="K30" i="4" l="1"/>
  <c r="G31" i="4"/>
  <c r="K31" i="4" s="1"/>
  <c r="F32" i="4"/>
  <c r="D111" i="14"/>
  <c r="F110" i="14"/>
  <c r="A110" i="14" s="1"/>
  <c r="AB29" i="4"/>
  <c r="Y30" i="4"/>
  <c r="AA31" i="4"/>
  <c r="I32" i="4"/>
  <c r="J23" i="20"/>
  <c r="H24" i="20"/>
  <c r="F33" i="4" l="1"/>
  <c r="G32" i="4"/>
  <c r="O32" i="4" s="1"/>
  <c r="O31" i="4"/>
  <c r="D112" i="14"/>
  <c r="F111" i="14"/>
  <c r="A111" i="14" s="1"/>
  <c r="AA32" i="4"/>
  <c r="I33" i="4"/>
  <c r="Y31" i="4"/>
  <c r="AB30" i="4"/>
  <c r="J24" i="20"/>
  <c r="H25" i="20"/>
  <c r="K32" i="4" l="1"/>
  <c r="G33" i="4"/>
  <c r="K33" i="4" s="1"/>
  <c r="F34" i="4"/>
  <c r="D113" i="14"/>
  <c r="F112" i="14"/>
  <c r="A112" i="14" s="1"/>
  <c r="AB31" i="4"/>
  <c r="Y32" i="4"/>
  <c r="AA33" i="4"/>
  <c r="I34" i="4"/>
  <c r="J25" i="20"/>
  <c r="H26" i="20"/>
  <c r="G34" i="4" l="1"/>
  <c r="O34" i="4" s="1"/>
  <c r="F35" i="4"/>
  <c r="O33" i="4"/>
  <c r="D114" i="14"/>
  <c r="F113" i="14"/>
  <c r="A113" i="14" s="1"/>
  <c r="AA34" i="4"/>
  <c r="I35" i="4"/>
  <c r="Y33" i="4"/>
  <c r="AB32" i="4"/>
  <c r="J26" i="20"/>
  <c r="H27" i="20"/>
  <c r="K34" i="4" l="1"/>
  <c r="G35" i="4"/>
  <c r="O35" i="4" s="1"/>
  <c r="F36" i="4"/>
  <c r="D115" i="14"/>
  <c r="F114" i="14"/>
  <c r="A114" i="14" s="1"/>
  <c r="Y34" i="4"/>
  <c r="AB33" i="4"/>
  <c r="AA35" i="4"/>
  <c r="I36" i="4"/>
  <c r="J27" i="20"/>
  <c r="H28" i="20"/>
  <c r="K35" i="4" l="1"/>
  <c r="F37" i="4"/>
  <c r="G36" i="4"/>
  <c r="O36" i="4" s="1"/>
  <c r="D116" i="14"/>
  <c r="F115" i="14"/>
  <c r="A115" i="14" s="1"/>
  <c r="I37" i="4"/>
  <c r="AA36" i="4"/>
  <c r="Y35" i="4"/>
  <c r="AB34" i="4"/>
  <c r="J28" i="20"/>
  <c r="H29" i="20"/>
  <c r="K36" i="4" l="1"/>
  <c r="F38" i="4"/>
  <c r="G37" i="4"/>
  <c r="O37" i="4" s="1"/>
  <c r="D117" i="14"/>
  <c r="F116" i="14"/>
  <c r="A116" i="14" s="1"/>
  <c r="Y36" i="4"/>
  <c r="AB35" i="4"/>
  <c r="AA37" i="4"/>
  <c r="I38" i="4"/>
  <c r="J29" i="20"/>
  <c r="H30" i="20"/>
  <c r="K37" i="4" l="1"/>
  <c r="G38" i="4"/>
  <c r="K38" i="4" s="1"/>
  <c r="F39" i="4"/>
  <c r="D118" i="14"/>
  <c r="F117" i="14"/>
  <c r="A117" i="14" s="1"/>
  <c r="AA38" i="4"/>
  <c r="I39" i="4"/>
  <c r="Y37" i="4"/>
  <c r="AB36" i="4"/>
  <c r="J30" i="20"/>
  <c r="H31" i="20"/>
  <c r="F40" i="4" l="1"/>
  <c r="G39" i="4"/>
  <c r="O39" i="4" s="1"/>
  <c r="O38" i="4"/>
  <c r="D119" i="14"/>
  <c r="F118" i="14"/>
  <c r="A118" i="14" s="1"/>
  <c r="Y38" i="4"/>
  <c r="AB37" i="4"/>
  <c r="AA39" i="4"/>
  <c r="I40" i="4"/>
  <c r="J31" i="20"/>
  <c r="H32" i="20"/>
  <c r="K39" i="4" l="1"/>
  <c r="G40" i="4"/>
  <c r="O40" i="4" s="1"/>
  <c r="F41" i="4"/>
  <c r="D120" i="14"/>
  <c r="F119" i="14"/>
  <c r="A119" i="14" s="1"/>
  <c r="I41" i="4"/>
  <c r="AA40" i="4"/>
  <c r="Y39" i="4"/>
  <c r="AB38" i="4"/>
  <c r="J32" i="20"/>
  <c r="H33" i="20"/>
  <c r="K40" i="4" l="1"/>
  <c r="G41" i="4"/>
  <c r="K41" i="4" s="1"/>
  <c r="F42" i="4"/>
  <c r="D121" i="14"/>
  <c r="F120" i="14"/>
  <c r="A120" i="14" s="1"/>
  <c r="Y40" i="4"/>
  <c r="AB39" i="4"/>
  <c r="AA41" i="4"/>
  <c r="I42" i="4"/>
  <c r="J33" i="20"/>
  <c r="H34" i="20"/>
  <c r="J34" i="20" s="1"/>
  <c r="F43" i="4" l="1"/>
  <c r="G42" i="4"/>
  <c r="O42" i="4" s="1"/>
  <c r="O41" i="4"/>
  <c r="D122" i="14"/>
  <c r="F121" i="14"/>
  <c r="A121" i="14" s="1"/>
  <c r="I43" i="4"/>
  <c r="AA42" i="4"/>
  <c r="Y41" i="4"/>
  <c r="AB40" i="4"/>
  <c r="K42" i="4" l="1"/>
  <c r="F44" i="4"/>
  <c r="G43" i="4"/>
  <c r="O43" i="4" s="1"/>
  <c r="D123" i="14"/>
  <c r="F122" i="14"/>
  <c r="A122" i="14" s="1"/>
  <c r="Y42" i="4"/>
  <c r="AB41" i="4"/>
  <c r="AA43" i="4"/>
  <c r="I44" i="4"/>
  <c r="K43" i="4" l="1"/>
  <c r="F45" i="4"/>
  <c r="G44" i="4"/>
  <c r="K44" i="4" s="1"/>
  <c r="D124" i="14"/>
  <c r="F123" i="14"/>
  <c r="A123" i="14" s="1"/>
  <c r="AA44" i="4"/>
  <c r="I45" i="4"/>
  <c r="Y43" i="4"/>
  <c r="AB42" i="4"/>
  <c r="O44" i="4" l="1"/>
  <c r="G45" i="4"/>
  <c r="O45" i="4" s="1"/>
  <c r="F46" i="4"/>
  <c r="D125" i="14"/>
  <c r="F124" i="14"/>
  <c r="A124" i="14" s="1"/>
  <c r="AB43" i="4"/>
  <c r="Y44" i="4"/>
  <c r="AA45" i="4"/>
  <c r="I46" i="4"/>
  <c r="K45" i="4" l="1"/>
  <c r="G46" i="4"/>
  <c r="O46" i="4" s="1"/>
  <c r="F47" i="4"/>
  <c r="D126" i="14"/>
  <c r="F125" i="14"/>
  <c r="A125" i="14" s="1"/>
  <c r="I47" i="4"/>
  <c r="AA46" i="4"/>
  <c r="Y45" i="4"/>
  <c r="AB44" i="4"/>
  <c r="K46" i="4" l="1"/>
  <c r="G47" i="4"/>
  <c r="K47" i="4" s="1"/>
  <c r="F48" i="4"/>
  <c r="D127" i="14"/>
  <c r="F126" i="14"/>
  <c r="A126" i="14" s="1"/>
  <c r="AA47" i="4"/>
  <c r="I48" i="4"/>
  <c r="AB45" i="4"/>
  <c r="Y46" i="4"/>
  <c r="G48" i="4" l="1"/>
  <c r="K48" i="4" s="1"/>
  <c r="F49" i="4"/>
  <c r="O47" i="4"/>
  <c r="D128" i="14"/>
  <c r="F127" i="14"/>
  <c r="A127" i="14" s="1"/>
  <c r="AB46" i="4"/>
  <c r="Y47" i="4"/>
  <c r="I49" i="4"/>
  <c r="AA48" i="4"/>
  <c r="O48" i="4" l="1"/>
  <c r="F50" i="4"/>
  <c r="G49" i="4"/>
  <c r="K49" i="4" s="1"/>
  <c r="D129" i="14"/>
  <c r="F128" i="14"/>
  <c r="A128" i="14" s="1"/>
  <c r="AA49" i="4"/>
  <c r="I50" i="4"/>
  <c r="Y48" i="4"/>
  <c r="AB47" i="4"/>
  <c r="O49" i="4" l="1"/>
  <c r="G50" i="4"/>
  <c r="K50" i="4" s="1"/>
  <c r="F51" i="4"/>
  <c r="D130" i="14"/>
  <c r="F129" i="14"/>
  <c r="A129" i="14" s="1"/>
  <c r="AB48" i="4"/>
  <c r="Y49" i="4"/>
  <c r="AA50" i="4"/>
  <c r="I51" i="4"/>
  <c r="F52" i="4" l="1"/>
  <c r="G51" i="4"/>
  <c r="O51" i="4" s="1"/>
  <c r="O50" i="4"/>
  <c r="D131" i="14"/>
  <c r="F130" i="14"/>
  <c r="A130" i="14" s="1"/>
  <c r="AA51" i="4"/>
  <c r="I52" i="4"/>
  <c r="AB49" i="4"/>
  <c r="Y50" i="4"/>
  <c r="K51" i="4" l="1"/>
  <c r="F53" i="4"/>
  <c r="G52" i="4"/>
  <c r="O52" i="4" s="1"/>
  <c r="D132" i="14"/>
  <c r="F131" i="14"/>
  <c r="A131" i="14" s="1"/>
  <c r="AB50" i="4"/>
  <c r="Y51" i="4"/>
  <c r="AA52" i="4"/>
  <c r="I53" i="4"/>
  <c r="K52" i="4" l="1"/>
  <c r="G53" i="4"/>
  <c r="K53" i="4" s="1"/>
  <c r="F54" i="4"/>
  <c r="D133" i="14"/>
  <c r="F132" i="14"/>
  <c r="A132" i="14" s="1"/>
  <c r="AA53" i="4"/>
  <c r="I54" i="4"/>
  <c r="Y52" i="4"/>
  <c r="AB51" i="4"/>
  <c r="G54" i="4" l="1"/>
  <c r="O54" i="4" s="1"/>
  <c r="F55" i="4"/>
  <c r="O53" i="4"/>
  <c r="F133" i="14"/>
  <c r="A133" i="14" s="1"/>
  <c r="D134" i="14"/>
  <c r="Y53" i="4"/>
  <c r="AB52" i="4"/>
  <c r="AA54" i="4"/>
  <c r="I55" i="4"/>
  <c r="K54" i="4" l="1"/>
  <c r="G55" i="4"/>
  <c r="K55" i="4" s="1"/>
  <c r="F56" i="4"/>
  <c r="D135" i="14"/>
  <c r="F134" i="14"/>
  <c r="A134" i="14" s="1"/>
  <c r="I56" i="4"/>
  <c r="AA55" i="4"/>
  <c r="Y54" i="4"/>
  <c r="AB53" i="4"/>
  <c r="F57" i="4" l="1"/>
  <c r="G56" i="4"/>
  <c r="O56" i="4" s="1"/>
  <c r="O55" i="4"/>
  <c r="D136" i="14"/>
  <c r="F135" i="14"/>
  <c r="A135" i="14" s="1"/>
  <c r="Y55" i="4"/>
  <c r="AB54" i="4"/>
  <c r="I57" i="4"/>
  <c r="AA56" i="4"/>
  <c r="K56" i="4" l="1"/>
  <c r="G57" i="4"/>
  <c r="K57" i="4" s="1"/>
  <c r="F58" i="4"/>
  <c r="D137" i="14"/>
  <c r="F136" i="14"/>
  <c r="A136" i="14" s="1"/>
  <c r="AA57" i="4"/>
  <c r="I58" i="4"/>
  <c r="Y56" i="4"/>
  <c r="AB55" i="4"/>
  <c r="G58" i="4" l="1"/>
  <c r="K58" i="4" s="1"/>
  <c r="F59" i="4"/>
  <c r="O57" i="4"/>
  <c r="D138" i="14"/>
  <c r="F137" i="14"/>
  <c r="A137" i="14" s="1"/>
  <c r="AB56" i="4"/>
  <c r="Y57" i="4"/>
  <c r="I59" i="4"/>
  <c r="AA58" i="4"/>
  <c r="O58" i="4" l="1"/>
  <c r="F60" i="4"/>
  <c r="G59" i="4"/>
  <c r="K59" i="4" s="1"/>
  <c r="D139" i="14"/>
  <c r="F138" i="14"/>
  <c r="A138" i="14" s="1"/>
  <c r="AA59" i="4"/>
  <c r="I60" i="4"/>
  <c r="Y58" i="4"/>
  <c r="AB57" i="4"/>
  <c r="O59" i="4" l="1"/>
  <c r="F61" i="4"/>
  <c r="G60" i="4"/>
  <c r="K60" i="4" s="1"/>
  <c r="D140" i="14"/>
  <c r="F139" i="14"/>
  <c r="A139" i="14" s="1"/>
  <c r="AB58" i="4"/>
  <c r="Y59" i="4"/>
  <c r="AA60" i="4"/>
  <c r="I61" i="4"/>
  <c r="G61" i="4" l="1"/>
  <c r="K61" i="4" s="1"/>
  <c r="F62" i="4"/>
  <c r="O60" i="4"/>
  <c r="D141" i="14"/>
  <c r="F140" i="14"/>
  <c r="A140" i="14" s="1"/>
  <c r="I62" i="4"/>
  <c r="AA61" i="4"/>
  <c r="Y60" i="4"/>
  <c r="AB59" i="4"/>
  <c r="F63" i="4" l="1"/>
  <c r="G62" i="4"/>
  <c r="O62" i="4" s="1"/>
  <c r="O61" i="4"/>
  <c r="D142" i="14"/>
  <c r="F141" i="14"/>
  <c r="A141" i="14" s="1"/>
  <c r="Y61" i="4"/>
  <c r="AB60" i="4"/>
  <c r="AA62" i="4"/>
  <c r="I63" i="4"/>
  <c r="K62" i="4" l="1"/>
  <c r="F64" i="4"/>
  <c r="G63" i="4"/>
  <c r="K63" i="4" s="1"/>
  <c r="D143" i="14"/>
  <c r="F142" i="14"/>
  <c r="A142" i="14" s="1"/>
  <c r="AA63" i="4"/>
  <c r="I64" i="4"/>
  <c r="Y62" i="4"/>
  <c r="AB61" i="4"/>
  <c r="O63" i="4" l="1"/>
  <c r="F65" i="4"/>
  <c r="G64" i="4"/>
  <c r="K64" i="4" s="1"/>
  <c r="D144" i="14"/>
  <c r="F143" i="14"/>
  <c r="A143" i="14" s="1"/>
  <c r="Y63" i="4"/>
  <c r="AB62" i="4"/>
  <c r="AA64" i="4"/>
  <c r="I65" i="4"/>
  <c r="F66" i="4" l="1"/>
  <c r="G65" i="4"/>
  <c r="O65" i="4" s="1"/>
  <c r="O64" i="4"/>
  <c r="D145" i="14"/>
  <c r="F144" i="14"/>
  <c r="A144" i="14" s="1"/>
  <c r="AA65" i="4"/>
  <c r="I66" i="4"/>
  <c r="Y64" i="4"/>
  <c r="AB63" i="4"/>
  <c r="K65" i="4" l="1"/>
  <c r="F67" i="4"/>
  <c r="G66" i="4"/>
  <c r="K66" i="4" s="1"/>
  <c r="D146" i="14"/>
  <c r="F145" i="14"/>
  <c r="A145" i="14" s="1"/>
  <c r="Y65" i="4"/>
  <c r="AB64" i="4"/>
  <c r="AA66" i="4"/>
  <c r="I67" i="4"/>
  <c r="O66" i="4" l="1"/>
  <c r="G67" i="4"/>
  <c r="K67" i="4" s="1"/>
  <c r="F68" i="4"/>
  <c r="D147" i="14"/>
  <c r="F146" i="14"/>
  <c r="A146" i="14" s="1"/>
  <c r="I68" i="4"/>
  <c r="AA67" i="4"/>
  <c r="Y66" i="4"/>
  <c r="AB65" i="4"/>
  <c r="F69" i="4" l="1"/>
  <c r="G68" i="4"/>
  <c r="O68" i="4" s="1"/>
  <c r="O67" i="4"/>
  <c r="D148" i="14"/>
  <c r="F147" i="14"/>
  <c r="A147" i="14" s="1"/>
  <c r="Y67" i="4"/>
  <c r="AB66" i="4"/>
  <c r="AA68" i="4"/>
  <c r="I69" i="4"/>
  <c r="K68" i="4" l="1"/>
  <c r="G69" i="4"/>
  <c r="K69" i="4" s="1"/>
  <c r="F70" i="4"/>
  <c r="D149" i="14"/>
  <c r="F148" i="14"/>
  <c r="A148" i="14" s="1"/>
  <c r="AA69" i="4"/>
  <c r="I70" i="4"/>
  <c r="Y68" i="4"/>
  <c r="AB67" i="4"/>
  <c r="G70" i="4" l="1"/>
  <c r="O70" i="4" s="1"/>
  <c r="F71" i="4"/>
  <c r="O69" i="4"/>
  <c r="D150" i="14"/>
  <c r="F149" i="14"/>
  <c r="A149" i="14" s="1"/>
  <c r="Y69" i="4"/>
  <c r="AB68" i="4"/>
  <c r="I71" i="4"/>
  <c r="AA70" i="4"/>
  <c r="K70" i="4" l="1"/>
  <c r="F72" i="4"/>
  <c r="G71" i="4"/>
  <c r="O71" i="4" s="1"/>
  <c r="D151" i="14"/>
  <c r="F150" i="14"/>
  <c r="A150" i="14" s="1"/>
  <c r="AA71" i="4"/>
  <c r="I72" i="4"/>
  <c r="Y70" i="4"/>
  <c r="AB69" i="4"/>
  <c r="K71" i="4" l="1"/>
  <c r="G72" i="4"/>
  <c r="K72" i="4" s="1"/>
  <c r="F73" i="4"/>
  <c r="D152" i="14"/>
  <c r="F151" i="14"/>
  <c r="A151" i="14" s="1"/>
  <c r="AB70" i="4"/>
  <c r="Y71" i="4"/>
  <c r="AA72" i="4"/>
  <c r="I73" i="4"/>
  <c r="F74" i="4" l="1"/>
  <c r="G73" i="4"/>
  <c r="O73" i="4" s="1"/>
  <c r="O72" i="4"/>
  <c r="D153" i="14"/>
  <c r="F152" i="14"/>
  <c r="A152" i="14" s="1"/>
  <c r="AA73" i="4"/>
  <c r="I74" i="4"/>
  <c r="Y72" i="4"/>
  <c r="AB71" i="4"/>
  <c r="K73" i="4" l="1"/>
  <c r="F75" i="4"/>
  <c r="G74" i="4"/>
  <c r="K74" i="4" s="1"/>
  <c r="D154" i="14"/>
  <c r="F153" i="14"/>
  <c r="A153" i="14" s="1"/>
  <c r="Y73" i="4"/>
  <c r="AB72" i="4"/>
  <c r="I75" i="4"/>
  <c r="AA74" i="4"/>
  <c r="O74" i="4" l="1"/>
  <c r="G75" i="4"/>
  <c r="K75" i="4" s="1"/>
  <c r="F76" i="4"/>
  <c r="D155" i="14"/>
  <c r="F154" i="14"/>
  <c r="A154" i="14" s="1"/>
  <c r="AA75" i="4"/>
  <c r="I76" i="4"/>
  <c r="Y74" i="4"/>
  <c r="AB73" i="4"/>
  <c r="G76" i="4" l="1"/>
  <c r="O76" i="4" s="1"/>
  <c r="F77" i="4"/>
  <c r="O75" i="4"/>
  <c r="D156" i="14"/>
  <c r="F155" i="14"/>
  <c r="A155" i="14" s="1"/>
  <c r="AB74" i="4"/>
  <c r="Y75" i="4"/>
  <c r="I77" i="4"/>
  <c r="AA76" i="4"/>
  <c r="K76" i="4" l="1"/>
  <c r="F78" i="4"/>
  <c r="G77" i="4"/>
  <c r="O77" i="4" s="1"/>
  <c r="D157" i="14"/>
  <c r="F156" i="14"/>
  <c r="A156" i="14" s="1"/>
  <c r="AA77" i="4"/>
  <c r="I78" i="4"/>
  <c r="Y76" i="4"/>
  <c r="AB75" i="4"/>
  <c r="K77" i="4" l="1"/>
  <c r="G78" i="4"/>
  <c r="O78" i="4" s="1"/>
  <c r="F79" i="4"/>
  <c r="D158" i="14"/>
  <c r="F157" i="14"/>
  <c r="A157" i="14" s="1"/>
  <c r="AB76" i="4"/>
  <c r="Y77" i="4"/>
  <c r="AA78" i="4"/>
  <c r="I79" i="4"/>
  <c r="K78" i="4" l="1"/>
  <c r="F80" i="4"/>
  <c r="G79" i="4"/>
  <c r="K79" i="4" s="1"/>
  <c r="D159" i="14"/>
  <c r="F158" i="14"/>
  <c r="A158" i="14" s="1"/>
  <c r="I80" i="4"/>
  <c r="AA79" i="4"/>
  <c r="Y78" i="4"/>
  <c r="AB77" i="4"/>
  <c r="O79" i="4" l="1"/>
  <c r="F81" i="4"/>
  <c r="G80" i="4"/>
  <c r="K80" i="4" s="1"/>
  <c r="F159" i="14"/>
  <c r="A159" i="14" s="1"/>
  <c r="D160" i="14"/>
  <c r="AB78" i="4"/>
  <c r="Y79" i="4"/>
  <c r="I81" i="4"/>
  <c r="AA80" i="4"/>
  <c r="F82" i="4" l="1"/>
  <c r="G81" i="4"/>
  <c r="O81" i="4" s="1"/>
  <c r="O80" i="4"/>
  <c r="D161" i="14"/>
  <c r="F160" i="14"/>
  <c r="A160" i="14" s="1"/>
  <c r="I82" i="4"/>
  <c r="AA81" i="4"/>
  <c r="AB79" i="4"/>
  <c r="Y80" i="4"/>
  <c r="K81" i="4" l="1"/>
  <c r="G82" i="4"/>
  <c r="O82" i="4" s="1"/>
  <c r="F83" i="4"/>
  <c r="D162" i="14"/>
  <c r="F161" i="14"/>
  <c r="A161" i="14" s="1"/>
  <c r="Y81" i="4"/>
  <c r="AB80" i="4"/>
  <c r="I83" i="4"/>
  <c r="AA82" i="4"/>
  <c r="K82" i="4" l="1"/>
  <c r="F84" i="4"/>
  <c r="G83" i="4"/>
  <c r="K83" i="4" s="1"/>
  <c r="D163" i="14"/>
  <c r="F162" i="14"/>
  <c r="A162" i="14" s="1"/>
  <c r="AA83" i="4"/>
  <c r="I84" i="4"/>
  <c r="Y82" i="4"/>
  <c r="AB81" i="4"/>
  <c r="O83" i="4" l="1"/>
  <c r="G84" i="4"/>
  <c r="O84" i="4" s="1"/>
  <c r="F85" i="4"/>
  <c r="D164" i="14"/>
  <c r="F163" i="14"/>
  <c r="A163" i="14" s="1"/>
  <c r="Y83" i="4"/>
  <c r="AB82" i="4"/>
  <c r="AA84" i="4"/>
  <c r="I85" i="4"/>
  <c r="K84" i="4" l="1"/>
  <c r="F86" i="4"/>
  <c r="G85" i="4"/>
  <c r="O85" i="4" s="1"/>
  <c r="D165" i="14"/>
  <c r="F164" i="14"/>
  <c r="A164" i="14" s="1"/>
  <c r="AA85" i="4"/>
  <c r="I86" i="4"/>
  <c r="AB83" i="4"/>
  <c r="Y84" i="4"/>
  <c r="K85" i="4" l="1"/>
  <c r="F87" i="4"/>
  <c r="G86" i="4"/>
  <c r="K86" i="4" s="1"/>
  <c r="D166" i="14"/>
  <c r="F165" i="14"/>
  <c r="A165" i="14" s="1"/>
  <c r="Y85" i="4"/>
  <c r="AB84" i="4"/>
  <c r="AA86" i="4"/>
  <c r="I87" i="4"/>
  <c r="O86" i="4" l="1"/>
  <c r="G87" i="4"/>
  <c r="O87" i="4" s="1"/>
  <c r="F88" i="4"/>
  <c r="D167" i="14"/>
  <c r="F166" i="14"/>
  <c r="A166" i="14" s="1"/>
  <c r="AA87" i="4"/>
  <c r="I88" i="4"/>
  <c r="Y86" i="4"/>
  <c r="AB85" i="4"/>
  <c r="K87" i="4" l="1"/>
  <c r="F89" i="4"/>
  <c r="G88" i="4"/>
  <c r="K88" i="4" s="1"/>
  <c r="D168" i="14"/>
  <c r="F167" i="14"/>
  <c r="A167" i="14" s="1"/>
  <c r="AB86" i="4"/>
  <c r="Y87" i="4"/>
  <c r="AA88" i="4"/>
  <c r="I89" i="4"/>
  <c r="O88" i="4" l="1"/>
  <c r="F90" i="4"/>
  <c r="G89" i="4"/>
  <c r="K89" i="4" s="1"/>
  <c r="D169" i="14"/>
  <c r="F168" i="14"/>
  <c r="A168" i="14" s="1"/>
  <c r="AA89" i="4"/>
  <c r="I90" i="4"/>
  <c r="Y88" i="4"/>
  <c r="AB87" i="4"/>
  <c r="F91" i="4" l="1"/>
  <c r="G90" i="4"/>
  <c r="O90" i="4" s="1"/>
  <c r="O89" i="4"/>
  <c r="D170" i="14"/>
  <c r="F169" i="14"/>
  <c r="A169" i="14" s="1"/>
  <c r="Y89" i="4"/>
  <c r="AB88" i="4"/>
  <c r="AA90" i="4"/>
  <c r="I91" i="4"/>
  <c r="K90" i="4" l="1"/>
  <c r="F92" i="4"/>
  <c r="G91" i="4"/>
  <c r="O91" i="4" s="1"/>
  <c r="D171" i="14"/>
  <c r="F170" i="14"/>
  <c r="A170" i="14" s="1"/>
  <c r="AA91" i="4"/>
  <c r="I92" i="4"/>
  <c r="Y90" i="4"/>
  <c r="AB89" i="4"/>
  <c r="K91" i="4" l="1"/>
  <c r="F93" i="4"/>
  <c r="G92" i="4"/>
  <c r="O92" i="4" s="1"/>
  <c r="D172" i="14"/>
  <c r="F171" i="14"/>
  <c r="A171" i="14" s="1"/>
  <c r="Y91" i="4"/>
  <c r="AB90" i="4"/>
  <c r="I93" i="4"/>
  <c r="AA92" i="4"/>
  <c r="K92" i="4" l="1"/>
  <c r="F94" i="4"/>
  <c r="G94" i="4" s="1"/>
  <c r="G93" i="4"/>
  <c r="K93" i="4" s="1"/>
  <c r="D173" i="14"/>
  <c r="F172" i="14"/>
  <c r="A172" i="14" s="1"/>
  <c r="I94" i="4"/>
  <c r="AA93" i="4"/>
  <c r="Y92" i="4"/>
  <c r="AB91" i="4"/>
  <c r="O93" i="4" l="1"/>
  <c r="O94" i="4"/>
  <c r="D174" i="14"/>
  <c r="F173" i="14"/>
  <c r="A173" i="14" s="1"/>
  <c r="AB92" i="4"/>
  <c r="Y93" i="4"/>
  <c r="K94" i="4"/>
  <c r="E2" i="4" s="1"/>
  <c r="AA94" i="4"/>
  <c r="D175" i="14" l="1"/>
  <c r="F174" i="14"/>
  <c r="A174" i="14" s="1"/>
  <c r="E3" i="4"/>
  <c r="E4" i="4" s="1"/>
  <c r="E5" i="4" s="1"/>
  <c r="F2" i="4"/>
  <c r="F9" i="4"/>
  <c r="Y94" i="4"/>
  <c r="AB94" i="4" s="1"/>
  <c r="AB93" i="4"/>
  <c r="D176" i="14" l="1"/>
  <c r="F175" i="14"/>
  <c r="A175" i="14" s="1"/>
  <c r="P2" i="4"/>
  <c r="P3" i="4" s="1"/>
  <c r="Q2" i="4"/>
  <c r="G2" i="4"/>
  <c r="G3" i="4" s="1"/>
  <c r="G4" i="4" s="1"/>
  <c r="F3" i="4"/>
  <c r="F4" i="4" s="1"/>
  <c r="I2" i="4"/>
  <c r="I3" i="4" s="1"/>
  <c r="I4" i="4" s="1"/>
  <c r="H2" i="4"/>
  <c r="H3" i="4" s="1"/>
  <c r="H4" i="4" s="1"/>
  <c r="E9" i="4"/>
  <c r="E6" i="4"/>
  <c r="E1" i="4"/>
  <c r="D177" i="14" l="1"/>
  <c r="F176" i="14"/>
  <c r="A176" i="14" s="1"/>
  <c r="B38" i="1"/>
  <c r="E10" i="4"/>
  <c r="N53" i="4"/>
  <c r="N19" i="4"/>
  <c r="N88" i="4"/>
  <c r="N70" i="4"/>
  <c r="E8" i="4"/>
  <c r="N49" i="4"/>
  <c r="N77" i="4"/>
  <c r="N63" i="4"/>
  <c r="N45" i="4"/>
  <c r="N17" i="4"/>
  <c r="N25" i="4"/>
  <c r="N79" i="4"/>
  <c r="N51" i="4"/>
  <c r="N87" i="4"/>
  <c r="N91" i="4"/>
  <c r="N68" i="4"/>
  <c r="N78" i="4"/>
  <c r="N74" i="4"/>
  <c r="N65" i="4"/>
  <c r="N48" i="4"/>
  <c r="N56" i="4"/>
  <c r="N30" i="4"/>
  <c r="N89" i="4"/>
  <c r="N60" i="4"/>
  <c r="N36" i="4"/>
  <c r="N54" i="4"/>
  <c r="N31" i="4"/>
  <c r="N66" i="4"/>
  <c r="N59" i="4"/>
  <c r="N58" i="4"/>
  <c r="N94" i="4"/>
  <c r="N84" i="4"/>
  <c r="N64" i="4"/>
  <c r="N27" i="4"/>
  <c r="N71" i="4"/>
  <c r="N33" i="4"/>
  <c r="E7" i="4"/>
  <c r="N40" i="4"/>
  <c r="N55" i="4"/>
  <c r="N34" i="4"/>
  <c r="N75" i="4"/>
  <c r="N81" i="4"/>
  <c r="N22" i="4"/>
  <c r="N72" i="4"/>
  <c r="N38" i="4"/>
  <c r="N50" i="4"/>
  <c r="N18" i="4"/>
  <c r="N24" i="4"/>
  <c r="N61" i="4"/>
  <c r="N69" i="4"/>
  <c r="N28" i="4"/>
  <c r="N21" i="4"/>
  <c r="N85" i="4"/>
  <c r="N92" i="4"/>
  <c r="N29" i="4"/>
  <c r="N42" i="4"/>
  <c r="N43" i="4"/>
  <c r="N52" i="4"/>
  <c r="N44" i="4"/>
  <c r="N41" i="4"/>
  <c r="N20" i="4"/>
  <c r="N86" i="4"/>
  <c r="N57" i="4"/>
  <c r="N80" i="4"/>
  <c r="N67" i="4"/>
  <c r="N32" i="4"/>
  <c r="N83" i="4"/>
  <c r="N26" i="4"/>
  <c r="N90" i="4"/>
  <c r="N62" i="4"/>
  <c r="N93" i="4"/>
  <c r="N16" i="4"/>
  <c r="M16" i="4" s="1"/>
  <c r="N47" i="4"/>
  <c r="N39" i="4"/>
  <c r="N82" i="4"/>
  <c r="N35" i="4"/>
  <c r="N73" i="4"/>
  <c r="N23" i="4"/>
  <c r="N76" i="4"/>
  <c r="N37" i="4"/>
  <c r="N46" i="4"/>
  <c r="Q3" i="4"/>
  <c r="P9" i="4"/>
  <c r="D178" i="14" l="1"/>
  <c r="F177" i="14"/>
  <c r="A177" i="14" s="1"/>
  <c r="P16" i="4"/>
  <c r="R16" i="4" s="1"/>
  <c r="M17" i="4"/>
  <c r="H11" i="3"/>
  <c r="B33" i="1" s="1"/>
  <c r="G18" i="1"/>
  <c r="F5" i="4"/>
  <c r="F6" i="4"/>
  <c r="AC16" i="4"/>
  <c r="AF16" i="4" s="1"/>
  <c r="AE16" i="4" s="1"/>
  <c r="AG16" i="4" s="1"/>
  <c r="AF17" i="4" s="1"/>
  <c r="AE17" i="4" s="1"/>
  <c r="AG17" i="4" s="1"/>
  <c r="AF18" i="4" s="1"/>
  <c r="E13" i="19" l="1"/>
  <c r="E20" i="19" s="1"/>
  <c r="E22" i="19" s="1"/>
  <c r="B35" i="1"/>
  <c r="G8" i="14"/>
  <c r="D179" i="14"/>
  <c r="F178" i="14"/>
  <c r="A178" i="14" s="1"/>
  <c r="G6" i="4"/>
  <c r="G5" i="4"/>
  <c r="H6" i="4" s="1"/>
  <c r="P17" i="4"/>
  <c r="R17" i="4" s="1"/>
  <c r="S17" i="4" s="1"/>
  <c r="T17" i="4" s="1"/>
  <c r="M18" i="4"/>
  <c r="S16" i="4"/>
  <c r="T16" i="4" s="1"/>
  <c r="AE18" i="4"/>
  <c r="AG18" i="4" s="1"/>
  <c r="AF19" i="4" s="1"/>
  <c r="B8" i="22" l="1"/>
  <c r="D180" i="14"/>
  <c r="F179" i="14"/>
  <c r="A179" i="14" s="1"/>
  <c r="B8" i="14"/>
  <c r="J9" i="14"/>
  <c r="E9" i="14" s="1"/>
  <c r="G9" i="14" s="1"/>
  <c r="H8" i="14"/>
  <c r="I8" i="14" s="1"/>
  <c r="C8" i="14" s="1"/>
  <c r="P18" i="4"/>
  <c r="R18" i="4" s="1"/>
  <c r="S18" i="4" s="1"/>
  <c r="T18" i="4" s="1"/>
  <c r="M19" i="4"/>
  <c r="I6" i="4"/>
  <c r="AE19" i="4"/>
  <c r="AG19" i="4" s="1"/>
  <c r="AF20" i="4" s="1"/>
  <c r="J10" i="14" l="1"/>
  <c r="E10" i="14" s="1"/>
  <c r="G10" i="14" s="1"/>
  <c r="H10" i="14" s="1"/>
  <c r="I10" i="14" s="1"/>
  <c r="C10" i="14" s="1"/>
  <c r="B9" i="14"/>
  <c r="H9" i="14"/>
  <c r="I9" i="14" s="1"/>
  <c r="C9" i="14" s="1"/>
  <c r="D181" i="14"/>
  <c r="F180" i="14"/>
  <c r="A180" i="14" s="1"/>
  <c r="I8" i="4"/>
  <c r="P8" i="4" s="1"/>
  <c r="M20" i="4"/>
  <c r="P19" i="4"/>
  <c r="R19" i="4" s="1"/>
  <c r="S19" i="4" s="1"/>
  <c r="T19" i="4" s="1"/>
  <c r="AE20" i="4"/>
  <c r="AG20" i="4" s="1"/>
  <c r="AF21" i="4" s="1"/>
  <c r="J11" i="14" l="1"/>
  <c r="E11" i="14" s="1"/>
  <c r="G11" i="14" s="1"/>
  <c r="B10" i="14"/>
  <c r="D182" i="14"/>
  <c r="F181" i="14"/>
  <c r="A181" i="14" s="1"/>
  <c r="P10" i="4"/>
  <c r="G29" i="1" s="1"/>
  <c r="P4" i="4"/>
  <c r="P20" i="4"/>
  <c r="R20" i="4" s="1"/>
  <c r="S20" i="4" s="1"/>
  <c r="T20" i="4" s="1"/>
  <c r="M21" i="4"/>
  <c r="AE21" i="4"/>
  <c r="AG21" i="4" s="1"/>
  <c r="AF22" i="4" s="1"/>
  <c r="D183" i="14" l="1"/>
  <c r="F182" i="14"/>
  <c r="A182" i="14" s="1"/>
  <c r="J12" i="14"/>
  <c r="E12" i="14" s="1"/>
  <c r="G12" i="14" s="1"/>
  <c r="H12" i="14" s="1"/>
  <c r="I12" i="14" s="1"/>
  <c r="C12" i="14" s="1"/>
  <c r="B11" i="14"/>
  <c r="H11" i="14"/>
  <c r="I11" i="14" s="1"/>
  <c r="C11" i="14" s="1"/>
  <c r="M22" i="4"/>
  <c r="P21" i="4"/>
  <c r="R21" i="4" s="1"/>
  <c r="S21" i="4" s="1"/>
  <c r="T21" i="4" s="1"/>
  <c r="P6" i="4"/>
  <c r="P5" i="4"/>
  <c r="AE22" i="4"/>
  <c r="AG22" i="4" s="1"/>
  <c r="AF23" i="4" s="1"/>
  <c r="J13" i="14" l="1"/>
  <c r="E13" i="14" s="1"/>
  <c r="G13" i="14" s="1"/>
  <c r="H13" i="14" s="1"/>
  <c r="I13" i="14" s="1"/>
  <c r="C13" i="14" s="1"/>
  <c r="B12" i="14"/>
  <c r="D184" i="14"/>
  <c r="F183" i="14"/>
  <c r="A183" i="14" s="1"/>
  <c r="M23" i="4"/>
  <c r="P22" i="4"/>
  <c r="R22" i="4" s="1"/>
  <c r="S22" i="4" s="1"/>
  <c r="T22" i="4" s="1"/>
  <c r="AE23" i="4"/>
  <c r="AG23" i="4" s="1"/>
  <c r="AF24" i="4" s="1"/>
  <c r="D185" i="14" l="1"/>
  <c r="F184" i="14"/>
  <c r="A184" i="14" s="1"/>
  <c r="J14" i="14"/>
  <c r="E14" i="14" s="1"/>
  <c r="G14" i="14" s="1"/>
  <c r="B13" i="14"/>
  <c r="P23" i="4"/>
  <c r="R23" i="4" s="1"/>
  <c r="S23" i="4" s="1"/>
  <c r="T23" i="4" s="1"/>
  <c r="M24" i="4"/>
  <c r="AE24" i="4"/>
  <c r="AG24" i="4" s="1"/>
  <c r="AF25" i="4" s="1"/>
  <c r="J15" i="14" l="1"/>
  <c r="E15" i="14" s="1"/>
  <c r="G15" i="14" s="1"/>
  <c r="B14" i="14"/>
  <c r="H14" i="14"/>
  <c r="I14" i="14" s="1"/>
  <c r="C14" i="14" s="1"/>
  <c r="D186" i="14"/>
  <c r="F185" i="14"/>
  <c r="A185" i="14" s="1"/>
  <c r="M25" i="4"/>
  <c r="P24" i="4"/>
  <c r="R24" i="4" s="1"/>
  <c r="S24" i="4" s="1"/>
  <c r="T24" i="4" s="1"/>
  <c r="AE25" i="4"/>
  <c r="AG25" i="4" s="1"/>
  <c r="AF26" i="4" s="1"/>
  <c r="D187" i="14" l="1"/>
  <c r="F186" i="14"/>
  <c r="A186" i="14" s="1"/>
  <c r="J16" i="14"/>
  <c r="E16" i="14" s="1"/>
  <c r="G16" i="14" s="1"/>
  <c r="B15" i="14"/>
  <c r="H15" i="14"/>
  <c r="I15" i="14" s="1"/>
  <c r="C15" i="14" s="1"/>
  <c r="M26" i="4"/>
  <c r="P25" i="4"/>
  <c r="R25" i="4" s="1"/>
  <c r="S25" i="4" s="1"/>
  <c r="T25" i="4" s="1"/>
  <c r="AE26" i="4"/>
  <c r="AG26" i="4" s="1"/>
  <c r="AF27" i="4" s="1"/>
  <c r="J17" i="14" l="1"/>
  <c r="E17" i="14" s="1"/>
  <c r="G17" i="14" s="1"/>
  <c r="B16" i="14"/>
  <c r="H16" i="14"/>
  <c r="I16" i="14" s="1"/>
  <c r="C16" i="14" s="1"/>
  <c r="D188" i="14"/>
  <c r="F187" i="14"/>
  <c r="A187" i="14" s="1"/>
  <c r="P26" i="4"/>
  <c r="R26" i="4" s="1"/>
  <c r="S26" i="4" s="1"/>
  <c r="T26" i="4" s="1"/>
  <c r="M27" i="4"/>
  <c r="AE27" i="4"/>
  <c r="AG27" i="4" s="1"/>
  <c r="AF28" i="4" s="1"/>
  <c r="D189" i="14" l="1"/>
  <c r="F188" i="14"/>
  <c r="A188" i="14" s="1"/>
  <c r="J18" i="14"/>
  <c r="E18" i="14" s="1"/>
  <c r="G18" i="14" s="1"/>
  <c r="B17" i="14"/>
  <c r="H17" i="14"/>
  <c r="I17" i="14" s="1"/>
  <c r="C17" i="14" s="1"/>
  <c r="M28" i="4"/>
  <c r="P27" i="4"/>
  <c r="R27" i="4" s="1"/>
  <c r="S27" i="4" s="1"/>
  <c r="T27" i="4" s="1"/>
  <c r="AE28" i="4"/>
  <c r="AG28" i="4" s="1"/>
  <c r="AF29" i="4" s="1"/>
  <c r="J19" i="14" l="1"/>
  <c r="E19" i="14" s="1"/>
  <c r="G19" i="14" s="1"/>
  <c r="B18" i="14"/>
  <c r="H18" i="14"/>
  <c r="I18" i="14" s="1"/>
  <c r="C18" i="14" s="1"/>
  <c r="D190" i="14"/>
  <c r="F189" i="14"/>
  <c r="A189" i="14" s="1"/>
  <c r="M29" i="4"/>
  <c r="P28" i="4"/>
  <c r="R28" i="4" s="1"/>
  <c r="S28" i="4" s="1"/>
  <c r="T28" i="4" s="1"/>
  <c r="AE29" i="4"/>
  <c r="AG29" i="4" s="1"/>
  <c r="AF30" i="4" s="1"/>
  <c r="D191" i="14" l="1"/>
  <c r="F190" i="14"/>
  <c r="A190" i="14" s="1"/>
  <c r="J20" i="14"/>
  <c r="E20" i="14" s="1"/>
  <c r="G20" i="14" s="1"/>
  <c r="B19" i="14"/>
  <c r="H19" i="14"/>
  <c r="I19" i="14" s="1"/>
  <c r="C19" i="14" s="1"/>
  <c r="M30" i="4"/>
  <c r="P29" i="4"/>
  <c r="R29" i="4" s="1"/>
  <c r="S29" i="4" s="1"/>
  <c r="T29" i="4" s="1"/>
  <c r="AE30" i="4"/>
  <c r="AG30" i="4" s="1"/>
  <c r="AF31" i="4" s="1"/>
  <c r="J21" i="14" l="1"/>
  <c r="E21" i="14" s="1"/>
  <c r="G21" i="14" s="1"/>
  <c r="B20" i="14"/>
  <c r="H20" i="14"/>
  <c r="I20" i="14" s="1"/>
  <c r="C20" i="14" s="1"/>
  <c r="D192" i="14"/>
  <c r="F191" i="14"/>
  <c r="A191" i="14" s="1"/>
  <c r="M31" i="4"/>
  <c r="P30" i="4"/>
  <c r="R30" i="4" s="1"/>
  <c r="S30" i="4" s="1"/>
  <c r="T30" i="4" s="1"/>
  <c r="AE31" i="4"/>
  <c r="AG31" i="4" s="1"/>
  <c r="AF32" i="4" s="1"/>
  <c r="D193" i="14" l="1"/>
  <c r="F192" i="14"/>
  <c r="A192" i="14" s="1"/>
  <c r="J22" i="14"/>
  <c r="E22" i="14" s="1"/>
  <c r="G22" i="14" s="1"/>
  <c r="B21" i="14"/>
  <c r="H21" i="14"/>
  <c r="I21" i="14" s="1"/>
  <c r="C21" i="14" s="1"/>
  <c r="M32" i="4"/>
  <c r="P31" i="4"/>
  <c r="R31" i="4" s="1"/>
  <c r="S31" i="4" s="1"/>
  <c r="T31" i="4" s="1"/>
  <c r="AE32" i="4"/>
  <c r="AG32" i="4" s="1"/>
  <c r="AF33" i="4" s="1"/>
  <c r="J23" i="14" l="1"/>
  <c r="E23" i="14" s="1"/>
  <c r="G23" i="14" s="1"/>
  <c r="B22" i="14"/>
  <c r="H22" i="14"/>
  <c r="I22" i="14" s="1"/>
  <c r="C22" i="14" s="1"/>
  <c r="D194" i="14"/>
  <c r="F193" i="14"/>
  <c r="A193" i="14" s="1"/>
  <c r="M33" i="4"/>
  <c r="P32" i="4"/>
  <c r="R32" i="4" s="1"/>
  <c r="S32" i="4" s="1"/>
  <c r="T32" i="4" s="1"/>
  <c r="AE33" i="4"/>
  <c r="AG33" i="4" s="1"/>
  <c r="AF34" i="4" s="1"/>
  <c r="D195" i="14" l="1"/>
  <c r="F194" i="14"/>
  <c r="A194" i="14" s="1"/>
  <c r="J24" i="14"/>
  <c r="E24" i="14" s="1"/>
  <c r="G24" i="14" s="1"/>
  <c r="B23" i="14"/>
  <c r="H23" i="14"/>
  <c r="I23" i="14" s="1"/>
  <c r="C23" i="14" s="1"/>
  <c r="P33" i="4"/>
  <c r="R33" i="4" s="1"/>
  <c r="S33" i="4" s="1"/>
  <c r="T33" i="4" s="1"/>
  <c r="M34" i="4"/>
  <c r="AE34" i="4"/>
  <c r="AG34" i="4" s="1"/>
  <c r="AF35" i="4" s="1"/>
  <c r="J25" i="14" l="1"/>
  <c r="E25" i="14" s="1"/>
  <c r="G25" i="14" s="1"/>
  <c r="B24" i="14"/>
  <c r="H24" i="14"/>
  <c r="I24" i="14" s="1"/>
  <c r="C24" i="14" s="1"/>
  <c r="D196" i="14"/>
  <c r="F195" i="14"/>
  <c r="A195" i="14" s="1"/>
  <c r="P34" i="4"/>
  <c r="R34" i="4" s="1"/>
  <c r="S34" i="4" s="1"/>
  <c r="T34" i="4" s="1"/>
  <c r="M35" i="4"/>
  <c r="AE35" i="4"/>
  <c r="AG35" i="4" s="1"/>
  <c r="AF36" i="4" s="1"/>
  <c r="D197" i="14" l="1"/>
  <c r="F196" i="14"/>
  <c r="A196" i="14" s="1"/>
  <c r="J26" i="14"/>
  <c r="E26" i="14" s="1"/>
  <c r="G26" i="14" s="1"/>
  <c r="B25" i="14"/>
  <c r="H25" i="14"/>
  <c r="I25" i="14" s="1"/>
  <c r="C25" i="14" s="1"/>
  <c r="M36" i="4"/>
  <c r="P35" i="4"/>
  <c r="R35" i="4" s="1"/>
  <c r="S35" i="4" s="1"/>
  <c r="T35" i="4" s="1"/>
  <c r="AE36" i="4"/>
  <c r="AG36" i="4" s="1"/>
  <c r="AF37" i="4" s="1"/>
  <c r="J27" i="14" l="1"/>
  <c r="E27" i="14" s="1"/>
  <c r="G27" i="14" s="1"/>
  <c r="B26" i="14"/>
  <c r="H26" i="14"/>
  <c r="I26" i="14" s="1"/>
  <c r="C26" i="14" s="1"/>
  <c r="D198" i="14"/>
  <c r="F197" i="14"/>
  <c r="A197" i="14" s="1"/>
  <c r="P36" i="4"/>
  <c r="R36" i="4" s="1"/>
  <c r="S36" i="4" s="1"/>
  <c r="T36" i="4" s="1"/>
  <c r="M37" i="4"/>
  <c r="AE37" i="4"/>
  <c r="AG37" i="4" s="1"/>
  <c r="AF38" i="4" s="1"/>
  <c r="D199" i="14" l="1"/>
  <c r="F198" i="14"/>
  <c r="A198" i="14" s="1"/>
  <c r="J28" i="14"/>
  <c r="E28" i="14" s="1"/>
  <c r="G28" i="14" s="1"/>
  <c r="B27" i="14"/>
  <c r="H27" i="14"/>
  <c r="I27" i="14" s="1"/>
  <c r="C27" i="14" s="1"/>
  <c r="M38" i="4"/>
  <c r="P37" i="4"/>
  <c r="R37" i="4" s="1"/>
  <c r="S37" i="4" s="1"/>
  <c r="T37" i="4" s="1"/>
  <c r="AE38" i="4"/>
  <c r="AG38" i="4" s="1"/>
  <c r="AF39" i="4" s="1"/>
  <c r="J29" i="14" l="1"/>
  <c r="E29" i="14" s="1"/>
  <c r="G29" i="14" s="1"/>
  <c r="B28" i="14"/>
  <c r="H28" i="14"/>
  <c r="I28" i="14" s="1"/>
  <c r="C28" i="14" s="1"/>
  <c r="D200" i="14"/>
  <c r="F199" i="14"/>
  <c r="A199" i="14" s="1"/>
  <c r="P38" i="4"/>
  <c r="R38" i="4" s="1"/>
  <c r="S38" i="4" s="1"/>
  <c r="T38" i="4" s="1"/>
  <c r="M39" i="4"/>
  <c r="AE39" i="4"/>
  <c r="AG39" i="4" s="1"/>
  <c r="AF40" i="4" s="1"/>
  <c r="D201" i="14" l="1"/>
  <c r="F200" i="14"/>
  <c r="A200" i="14" s="1"/>
  <c r="J30" i="14"/>
  <c r="E30" i="14" s="1"/>
  <c r="G30" i="14" s="1"/>
  <c r="B29" i="14"/>
  <c r="H29" i="14"/>
  <c r="I29" i="14" s="1"/>
  <c r="C29" i="14" s="1"/>
  <c r="P39" i="4"/>
  <c r="R39" i="4" s="1"/>
  <c r="S39" i="4" s="1"/>
  <c r="T39" i="4" s="1"/>
  <c r="M40" i="4"/>
  <c r="AE40" i="4"/>
  <c r="AG40" i="4" s="1"/>
  <c r="AF41" i="4" s="1"/>
  <c r="J31" i="14" l="1"/>
  <c r="E31" i="14" s="1"/>
  <c r="G31" i="14" s="1"/>
  <c r="B30" i="14"/>
  <c r="H30" i="14"/>
  <c r="I30" i="14" s="1"/>
  <c r="C30" i="14" s="1"/>
  <c r="D202" i="14"/>
  <c r="F201" i="14"/>
  <c r="A201" i="14" s="1"/>
  <c r="P40" i="4"/>
  <c r="R40" i="4" s="1"/>
  <c r="S40" i="4" s="1"/>
  <c r="T40" i="4" s="1"/>
  <c r="M41" i="4"/>
  <c r="AE41" i="4"/>
  <c r="AG41" i="4" s="1"/>
  <c r="AF42" i="4" s="1"/>
  <c r="D203" i="14" l="1"/>
  <c r="F202" i="14"/>
  <c r="A202" i="14" s="1"/>
  <c r="J32" i="14"/>
  <c r="E32" i="14" s="1"/>
  <c r="G32" i="14" s="1"/>
  <c r="B31" i="14"/>
  <c r="H31" i="14"/>
  <c r="I31" i="14" s="1"/>
  <c r="C31" i="14" s="1"/>
  <c r="P41" i="4"/>
  <c r="R41" i="4" s="1"/>
  <c r="S41" i="4" s="1"/>
  <c r="T41" i="4" s="1"/>
  <c r="M42" i="4"/>
  <c r="AE42" i="4"/>
  <c r="AG42" i="4" s="1"/>
  <c r="AF43" i="4" s="1"/>
  <c r="J33" i="14" l="1"/>
  <c r="E33" i="14" s="1"/>
  <c r="G33" i="14" s="1"/>
  <c r="B32" i="14"/>
  <c r="H32" i="14"/>
  <c r="I32" i="14" s="1"/>
  <c r="C32" i="14" s="1"/>
  <c r="D204" i="14"/>
  <c r="F203" i="14"/>
  <c r="A203" i="14" s="1"/>
  <c r="M43" i="4"/>
  <c r="P42" i="4"/>
  <c r="R42" i="4" s="1"/>
  <c r="S42" i="4" s="1"/>
  <c r="T42" i="4" s="1"/>
  <c r="AE43" i="4"/>
  <c r="AG43" i="4" s="1"/>
  <c r="AF44" i="4" s="1"/>
  <c r="D205" i="14" l="1"/>
  <c r="F204" i="14"/>
  <c r="A204" i="14" s="1"/>
  <c r="J34" i="14"/>
  <c r="E34" i="14" s="1"/>
  <c r="G34" i="14" s="1"/>
  <c r="B33" i="14"/>
  <c r="H33" i="14"/>
  <c r="I33" i="14" s="1"/>
  <c r="C33" i="14" s="1"/>
  <c r="P43" i="4"/>
  <c r="R43" i="4" s="1"/>
  <c r="S43" i="4" s="1"/>
  <c r="T43" i="4" s="1"/>
  <c r="M44" i="4"/>
  <c r="Q8" i="4"/>
  <c r="AE44" i="4"/>
  <c r="AG44" i="4" s="1"/>
  <c r="AF45" i="4" s="1"/>
  <c r="J35" i="14" l="1"/>
  <c r="E35" i="14" s="1"/>
  <c r="G35" i="14" s="1"/>
  <c r="B34" i="14"/>
  <c r="H34" i="14"/>
  <c r="I34" i="14" s="1"/>
  <c r="C34" i="14" s="1"/>
  <c r="D206" i="14"/>
  <c r="F205" i="14"/>
  <c r="A205" i="14" s="1"/>
  <c r="P44" i="4"/>
  <c r="R44" i="4" s="1"/>
  <c r="S44" i="4" s="1"/>
  <c r="T44" i="4" s="1"/>
  <c r="M45" i="4"/>
  <c r="AE45" i="4"/>
  <c r="AG45" i="4" s="1"/>
  <c r="AF46" i="4" s="1"/>
  <c r="D207" i="14" l="1"/>
  <c r="F206" i="14"/>
  <c r="A206" i="14" s="1"/>
  <c r="J36" i="14"/>
  <c r="E36" i="14" s="1"/>
  <c r="G36" i="14" s="1"/>
  <c r="B35" i="14"/>
  <c r="H35" i="14"/>
  <c r="I35" i="14" s="1"/>
  <c r="C35" i="14" s="1"/>
  <c r="P45" i="4"/>
  <c r="R45" i="4" s="1"/>
  <c r="S45" i="4" s="1"/>
  <c r="T45" i="4" s="1"/>
  <c r="M46" i="4"/>
  <c r="AE46" i="4"/>
  <c r="AG46" i="4" s="1"/>
  <c r="AF47" i="4" s="1"/>
  <c r="J37" i="14" l="1"/>
  <c r="E37" i="14" s="1"/>
  <c r="G37" i="14" s="1"/>
  <c r="B36" i="14"/>
  <c r="H36" i="14"/>
  <c r="I36" i="14" s="1"/>
  <c r="C36" i="14" s="1"/>
  <c r="D208" i="14"/>
  <c r="F207" i="14"/>
  <c r="A207" i="14" s="1"/>
  <c r="M47" i="4"/>
  <c r="P46" i="4"/>
  <c r="R46" i="4" s="1"/>
  <c r="S46" i="4" s="1"/>
  <c r="T46" i="4" s="1"/>
  <c r="AE47" i="4"/>
  <c r="AG47" i="4" s="1"/>
  <c r="AF48" i="4" s="1"/>
  <c r="D209" i="14" l="1"/>
  <c r="F208" i="14"/>
  <c r="A208" i="14" s="1"/>
  <c r="J38" i="14"/>
  <c r="E38" i="14" s="1"/>
  <c r="G38" i="14" s="1"/>
  <c r="B37" i="14"/>
  <c r="H37" i="14"/>
  <c r="I37" i="14" s="1"/>
  <c r="C37" i="14" s="1"/>
  <c r="P47" i="4"/>
  <c r="R47" i="4" s="1"/>
  <c r="S47" i="4" s="1"/>
  <c r="T47" i="4" s="1"/>
  <c r="M48" i="4"/>
  <c r="AE48" i="4"/>
  <c r="AG48" i="4" s="1"/>
  <c r="AF49" i="4" s="1"/>
  <c r="J39" i="14" l="1"/>
  <c r="E39" i="14" s="1"/>
  <c r="G39" i="14" s="1"/>
  <c r="B38" i="14"/>
  <c r="H38" i="14"/>
  <c r="I38" i="14" s="1"/>
  <c r="C38" i="14" s="1"/>
  <c r="D210" i="14"/>
  <c r="F209" i="14"/>
  <c r="A209" i="14" s="1"/>
  <c r="P48" i="4"/>
  <c r="R48" i="4" s="1"/>
  <c r="S48" i="4" s="1"/>
  <c r="T48" i="4" s="1"/>
  <c r="M49" i="4"/>
  <c r="AE49" i="4"/>
  <c r="AG49" i="4" s="1"/>
  <c r="AF50" i="4" s="1"/>
  <c r="D211" i="14" l="1"/>
  <c r="F210" i="14"/>
  <c r="A210" i="14" s="1"/>
  <c r="J40" i="14"/>
  <c r="E40" i="14" s="1"/>
  <c r="G40" i="14" s="1"/>
  <c r="B39" i="14"/>
  <c r="H39" i="14"/>
  <c r="I39" i="14" s="1"/>
  <c r="C39" i="14" s="1"/>
  <c r="P49" i="4"/>
  <c r="R49" i="4" s="1"/>
  <c r="S49" i="4" s="1"/>
  <c r="T49" i="4" s="1"/>
  <c r="M50" i="4"/>
  <c r="AE50" i="4"/>
  <c r="AG50" i="4" s="1"/>
  <c r="AF51" i="4" s="1"/>
  <c r="J41" i="14" l="1"/>
  <c r="E41" i="14" s="1"/>
  <c r="G41" i="14" s="1"/>
  <c r="B40" i="14"/>
  <c r="H40" i="14"/>
  <c r="I40" i="14" s="1"/>
  <c r="C40" i="14" s="1"/>
  <c r="D212" i="14"/>
  <c r="F211" i="14"/>
  <c r="A211" i="14" s="1"/>
  <c r="M51" i="4"/>
  <c r="P50" i="4"/>
  <c r="R50" i="4" s="1"/>
  <c r="S50" i="4" s="1"/>
  <c r="T50" i="4" s="1"/>
  <c r="AE51" i="4"/>
  <c r="AG51" i="4" s="1"/>
  <c r="AF52" i="4" s="1"/>
  <c r="D213" i="14" l="1"/>
  <c r="F212" i="14"/>
  <c r="A212" i="14" s="1"/>
  <c r="J42" i="14"/>
  <c r="E42" i="14" s="1"/>
  <c r="G42" i="14" s="1"/>
  <c r="B41" i="14"/>
  <c r="H41" i="14"/>
  <c r="I41" i="14" s="1"/>
  <c r="C41" i="14" s="1"/>
  <c r="P51" i="4"/>
  <c r="R51" i="4" s="1"/>
  <c r="S51" i="4" s="1"/>
  <c r="T51" i="4" s="1"/>
  <c r="M52" i="4"/>
  <c r="AE52" i="4"/>
  <c r="AG52" i="4" s="1"/>
  <c r="AF53" i="4" s="1"/>
  <c r="J43" i="14" l="1"/>
  <c r="E43" i="14" s="1"/>
  <c r="G43" i="14" s="1"/>
  <c r="B42" i="14"/>
  <c r="H42" i="14"/>
  <c r="I42" i="14" s="1"/>
  <c r="C42" i="14" s="1"/>
  <c r="D214" i="14"/>
  <c r="F213" i="14"/>
  <c r="A213" i="14" s="1"/>
  <c r="M53" i="4"/>
  <c r="P52" i="4"/>
  <c r="R52" i="4" s="1"/>
  <c r="S52" i="4" s="1"/>
  <c r="T52" i="4" s="1"/>
  <c r="AE53" i="4"/>
  <c r="AG53" i="4" s="1"/>
  <c r="AF54" i="4" s="1"/>
  <c r="D215" i="14" l="1"/>
  <c r="F214" i="14"/>
  <c r="A214" i="14" s="1"/>
  <c r="J44" i="14"/>
  <c r="E44" i="14" s="1"/>
  <c r="G44" i="14" s="1"/>
  <c r="B43" i="14"/>
  <c r="H43" i="14"/>
  <c r="I43" i="14" s="1"/>
  <c r="C43" i="14" s="1"/>
  <c r="M54" i="4"/>
  <c r="P53" i="4"/>
  <c r="R53" i="4" s="1"/>
  <c r="S53" i="4" s="1"/>
  <c r="T53" i="4" s="1"/>
  <c r="AE54" i="4"/>
  <c r="AG54" i="4" s="1"/>
  <c r="AF55" i="4" s="1"/>
  <c r="J45" i="14" l="1"/>
  <c r="E45" i="14" s="1"/>
  <c r="G45" i="14" s="1"/>
  <c r="B44" i="14"/>
  <c r="H44" i="14"/>
  <c r="I44" i="14" s="1"/>
  <c r="C44" i="14" s="1"/>
  <c r="D216" i="14"/>
  <c r="F215" i="14"/>
  <c r="A215" i="14" s="1"/>
  <c r="M55" i="4"/>
  <c r="P54" i="4"/>
  <c r="R54" i="4" s="1"/>
  <c r="S54" i="4" s="1"/>
  <c r="T54" i="4" s="1"/>
  <c r="AE55" i="4"/>
  <c r="AG55" i="4" s="1"/>
  <c r="AF56" i="4" s="1"/>
  <c r="D217" i="14" l="1"/>
  <c r="F216" i="14"/>
  <c r="A216" i="14" s="1"/>
  <c r="J46" i="14"/>
  <c r="E46" i="14" s="1"/>
  <c r="G46" i="14" s="1"/>
  <c r="B45" i="14"/>
  <c r="H45" i="14"/>
  <c r="I45" i="14" s="1"/>
  <c r="C45" i="14" s="1"/>
  <c r="P55" i="4"/>
  <c r="R55" i="4" s="1"/>
  <c r="S55" i="4" s="1"/>
  <c r="T55" i="4" s="1"/>
  <c r="M56" i="4"/>
  <c r="AE56" i="4"/>
  <c r="AG56" i="4" s="1"/>
  <c r="AF57" i="4" s="1"/>
  <c r="J47" i="14" l="1"/>
  <c r="E47" i="14" s="1"/>
  <c r="G47" i="14" s="1"/>
  <c r="B46" i="14"/>
  <c r="H46" i="14"/>
  <c r="I46" i="14" s="1"/>
  <c r="C46" i="14" s="1"/>
  <c r="D218" i="14"/>
  <c r="F217" i="14"/>
  <c r="A217" i="14" s="1"/>
  <c r="M57" i="4"/>
  <c r="P56" i="4"/>
  <c r="R56" i="4" s="1"/>
  <c r="S56" i="4" s="1"/>
  <c r="T56" i="4" s="1"/>
  <c r="AE57" i="4"/>
  <c r="AG57" i="4" s="1"/>
  <c r="AF58" i="4" s="1"/>
  <c r="D219" i="14" l="1"/>
  <c r="F218" i="14"/>
  <c r="A218" i="14" s="1"/>
  <c r="J48" i="14"/>
  <c r="E48" i="14" s="1"/>
  <c r="G48" i="14" s="1"/>
  <c r="B47" i="14"/>
  <c r="H47" i="14"/>
  <c r="I47" i="14" s="1"/>
  <c r="C47" i="14" s="1"/>
  <c r="P57" i="4"/>
  <c r="R57" i="4" s="1"/>
  <c r="S57" i="4" s="1"/>
  <c r="T57" i="4" s="1"/>
  <c r="M58" i="4"/>
  <c r="AE58" i="4"/>
  <c r="AG58" i="4" s="1"/>
  <c r="AF59" i="4" s="1"/>
  <c r="J49" i="14" l="1"/>
  <c r="E49" i="14" s="1"/>
  <c r="G49" i="14" s="1"/>
  <c r="B48" i="14"/>
  <c r="H48" i="14"/>
  <c r="I48" i="14" s="1"/>
  <c r="C48" i="14" s="1"/>
  <c r="D220" i="14"/>
  <c r="F219" i="14"/>
  <c r="A219" i="14" s="1"/>
  <c r="P58" i="4"/>
  <c r="R58" i="4" s="1"/>
  <c r="S58" i="4" s="1"/>
  <c r="T58" i="4" s="1"/>
  <c r="M59" i="4"/>
  <c r="AE59" i="4"/>
  <c r="AG59" i="4" s="1"/>
  <c r="AF60" i="4" s="1"/>
  <c r="D221" i="14" l="1"/>
  <c r="F220" i="14"/>
  <c r="A220" i="14" s="1"/>
  <c r="J50" i="14"/>
  <c r="E50" i="14" s="1"/>
  <c r="G50" i="14" s="1"/>
  <c r="B49" i="14"/>
  <c r="H49" i="14"/>
  <c r="I49" i="14" s="1"/>
  <c r="C49" i="14" s="1"/>
  <c r="M60" i="4"/>
  <c r="P59" i="4"/>
  <c r="R59" i="4" s="1"/>
  <c r="S59" i="4" s="1"/>
  <c r="T59" i="4" s="1"/>
  <c r="AE60" i="4"/>
  <c r="AG60" i="4" s="1"/>
  <c r="AF61" i="4" s="1"/>
  <c r="J51" i="14" l="1"/>
  <c r="E51" i="14" s="1"/>
  <c r="G51" i="14" s="1"/>
  <c r="B50" i="14"/>
  <c r="H50" i="14"/>
  <c r="I50" i="14" s="1"/>
  <c r="C50" i="14" s="1"/>
  <c r="D222" i="14"/>
  <c r="F221" i="14"/>
  <c r="A221" i="14" s="1"/>
  <c r="P60" i="4"/>
  <c r="R60" i="4" s="1"/>
  <c r="S60" i="4" s="1"/>
  <c r="T60" i="4" s="1"/>
  <c r="M61" i="4"/>
  <c r="AE61" i="4"/>
  <c r="AG61" i="4" s="1"/>
  <c r="AF62" i="4" s="1"/>
  <c r="D223" i="14" l="1"/>
  <c r="F222" i="14"/>
  <c r="A222" i="14" s="1"/>
  <c r="J52" i="14"/>
  <c r="E52" i="14" s="1"/>
  <c r="G52" i="14" s="1"/>
  <c r="B51" i="14"/>
  <c r="H51" i="14"/>
  <c r="I51" i="14" s="1"/>
  <c r="C51" i="14" s="1"/>
  <c r="M62" i="4"/>
  <c r="P61" i="4"/>
  <c r="R61" i="4" s="1"/>
  <c r="S61" i="4" s="1"/>
  <c r="T61" i="4" s="1"/>
  <c r="AE62" i="4"/>
  <c r="AG62" i="4" s="1"/>
  <c r="AF63" i="4" s="1"/>
  <c r="J53" i="14" l="1"/>
  <c r="E53" i="14" s="1"/>
  <c r="G53" i="14" s="1"/>
  <c r="B52" i="14"/>
  <c r="H52" i="14"/>
  <c r="I52" i="14" s="1"/>
  <c r="C52" i="14" s="1"/>
  <c r="D224" i="14"/>
  <c r="F223" i="14"/>
  <c r="A223" i="14" s="1"/>
  <c r="P62" i="4"/>
  <c r="R62" i="4" s="1"/>
  <c r="S62" i="4" s="1"/>
  <c r="T62" i="4" s="1"/>
  <c r="M63" i="4"/>
  <c r="AE63" i="4"/>
  <c r="AG63" i="4" s="1"/>
  <c r="AF64" i="4" s="1"/>
  <c r="D225" i="14" l="1"/>
  <c r="F224" i="14"/>
  <c r="A224" i="14" s="1"/>
  <c r="J54" i="14"/>
  <c r="E54" i="14" s="1"/>
  <c r="G54" i="14" s="1"/>
  <c r="B53" i="14"/>
  <c r="H53" i="14"/>
  <c r="I53" i="14" s="1"/>
  <c r="C53" i="14" s="1"/>
  <c r="P63" i="4"/>
  <c r="R63" i="4" s="1"/>
  <c r="S63" i="4" s="1"/>
  <c r="T63" i="4" s="1"/>
  <c r="M64" i="4"/>
  <c r="AE64" i="4"/>
  <c r="AG64" i="4" s="1"/>
  <c r="AF65" i="4" s="1"/>
  <c r="J55" i="14" l="1"/>
  <c r="E55" i="14" s="1"/>
  <c r="G55" i="14" s="1"/>
  <c r="B54" i="14"/>
  <c r="H54" i="14"/>
  <c r="I54" i="14" s="1"/>
  <c r="C54" i="14" s="1"/>
  <c r="D226" i="14"/>
  <c r="F225" i="14"/>
  <c r="A225" i="14" s="1"/>
  <c r="P64" i="4"/>
  <c r="R64" i="4" s="1"/>
  <c r="S64" i="4" s="1"/>
  <c r="T64" i="4" s="1"/>
  <c r="M65" i="4"/>
  <c r="AE65" i="4"/>
  <c r="AG65" i="4" s="1"/>
  <c r="AF66" i="4" s="1"/>
  <c r="D227" i="14" l="1"/>
  <c r="F226" i="14"/>
  <c r="A226" i="14" s="1"/>
  <c r="J56" i="14"/>
  <c r="E56" i="14" s="1"/>
  <c r="G56" i="14" s="1"/>
  <c r="B55" i="14"/>
  <c r="H55" i="14"/>
  <c r="I55" i="14" s="1"/>
  <c r="C55" i="14" s="1"/>
  <c r="P65" i="4"/>
  <c r="R65" i="4" s="1"/>
  <c r="S65" i="4" s="1"/>
  <c r="T65" i="4" s="1"/>
  <c r="M66" i="4"/>
  <c r="AE66" i="4"/>
  <c r="AG66" i="4" s="1"/>
  <c r="AF67" i="4" s="1"/>
  <c r="J57" i="14" l="1"/>
  <c r="E57" i="14" s="1"/>
  <c r="G57" i="14" s="1"/>
  <c r="B56" i="14"/>
  <c r="H56" i="14"/>
  <c r="I56" i="14" s="1"/>
  <c r="C56" i="14" s="1"/>
  <c r="D228" i="14"/>
  <c r="F227" i="14"/>
  <c r="A227" i="14" s="1"/>
  <c r="M67" i="4"/>
  <c r="P66" i="4"/>
  <c r="R66" i="4" s="1"/>
  <c r="S66" i="4" s="1"/>
  <c r="AE67" i="4"/>
  <c r="AG67" i="4" s="1"/>
  <c r="AF68" i="4" s="1"/>
  <c r="D229" i="14" l="1"/>
  <c r="F228" i="14"/>
  <c r="A228" i="14" s="1"/>
  <c r="J58" i="14"/>
  <c r="E58" i="14" s="1"/>
  <c r="G58" i="14" s="1"/>
  <c r="B57" i="14"/>
  <c r="H57" i="14"/>
  <c r="I57" i="14" s="1"/>
  <c r="C57" i="14" s="1"/>
  <c r="P67" i="4"/>
  <c r="R67" i="4" s="1"/>
  <c r="S67" i="4" s="1"/>
  <c r="M68" i="4"/>
  <c r="AE68" i="4"/>
  <c r="AG68" i="4" s="1"/>
  <c r="AF69" i="4" s="1"/>
  <c r="J59" i="14" l="1"/>
  <c r="E59" i="14" s="1"/>
  <c r="G59" i="14" s="1"/>
  <c r="B58" i="14"/>
  <c r="H58" i="14"/>
  <c r="I58" i="14" s="1"/>
  <c r="C58" i="14" s="1"/>
  <c r="D230" i="14"/>
  <c r="F229" i="14"/>
  <c r="A229" i="14" s="1"/>
  <c r="P68" i="4"/>
  <c r="R68" i="4" s="1"/>
  <c r="S68" i="4" s="1"/>
  <c r="M69" i="4"/>
  <c r="AE69" i="4"/>
  <c r="AG69" i="4" s="1"/>
  <c r="AF70" i="4" s="1"/>
  <c r="D231" i="14" l="1"/>
  <c r="F230" i="14"/>
  <c r="A230" i="14" s="1"/>
  <c r="J60" i="14"/>
  <c r="E60" i="14" s="1"/>
  <c r="G60" i="14" s="1"/>
  <c r="B59" i="14"/>
  <c r="H59" i="14"/>
  <c r="I59" i="14" s="1"/>
  <c r="C59" i="14" s="1"/>
  <c r="P69" i="4"/>
  <c r="R69" i="4" s="1"/>
  <c r="S69" i="4" s="1"/>
  <c r="M70" i="4"/>
  <c r="AE70" i="4"/>
  <c r="AG70" i="4" s="1"/>
  <c r="AF71" i="4" s="1"/>
  <c r="J61" i="14" l="1"/>
  <c r="E61" i="14" s="1"/>
  <c r="G61" i="14" s="1"/>
  <c r="B60" i="14"/>
  <c r="H60" i="14"/>
  <c r="I60" i="14" s="1"/>
  <c r="C60" i="14" s="1"/>
  <c r="D232" i="14"/>
  <c r="F231" i="14"/>
  <c r="A231" i="14" s="1"/>
  <c r="M71" i="4"/>
  <c r="P70" i="4"/>
  <c r="R70" i="4" s="1"/>
  <c r="S70" i="4" s="1"/>
  <c r="AE71" i="4"/>
  <c r="AG71" i="4" s="1"/>
  <c r="D233" i="14" l="1"/>
  <c r="F232" i="14"/>
  <c r="A232" i="14" s="1"/>
  <c r="J62" i="14"/>
  <c r="E62" i="14" s="1"/>
  <c r="G62" i="14" s="1"/>
  <c r="B61" i="14"/>
  <c r="H61" i="14"/>
  <c r="I61" i="14" s="1"/>
  <c r="C61" i="14" s="1"/>
  <c r="P71" i="4"/>
  <c r="R71" i="4" s="1"/>
  <c r="S71" i="4" s="1"/>
  <c r="M72" i="4"/>
  <c r="J63" i="14" l="1"/>
  <c r="E63" i="14" s="1"/>
  <c r="G63" i="14" s="1"/>
  <c r="B62" i="14"/>
  <c r="H62" i="14"/>
  <c r="I62" i="14" s="1"/>
  <c r="C62" i="14" s="1"/>
  <c r="D234" i="14"/>
  <c r="F233" i="14"/>
  <c r="A233" i="14" s="1"/>
  <c r="M73" i="4"/>
  <c r="P72" i="4"/>
  <c r="R72" i="4" s="1"/>
  <c r="S72" i="4" s="1"/>
  <c r="D235" i="14" l="1"/>
  <c r="F234" i="14"/>
  <c r="A234" i="14" s="1"/>
  <c r="J64" i="14"/>
  <c r="E64" i="14" s="1"/>
  <c r="G64" i="14" s="1"/>
  <c r="B63" i="14"/>
  <c r="H63" i="14"/>
  <c r="I63" i="14" s="1"/>
  <c r="C63" i="14" s="1"/>
  <c r="M74" i="4"/>
  <c r="P73" i="4"/>
  <c r="R73" i="4" s="1"/>
  <c r="S73" i="4" s="1"/>
  <c r="J65" i="14" l="1"/>
  <c r="E65" i="14" s="1"/>
  <c r="G65" i="14" s="1"/>
  <c r="B64" i="14"/>
  <c r="H64" i="14"/>
  <c r="I64" i="14" s="1"/>
  <c r="C64" i="14" s="1"/>
  <c r="D236" i="14"/>
  <c r="F235" i="14"/>
  <c r="A235" i="14" s="1"/>
  <c r="P74" i="4"/>
  <c r="R74" i="4" s="1"/>
  <c r="S74" i="4" s="1"/>
  <c r="M75" i="4"/>
  <c r="D237" i="14" l="1"/>
  <c r="F236" i="14"/>
  <c r="A236" i="14" s="1"/>
  <c r="J66" i="14"/>
  <c r="E66" i="14" s="1"/>
  <c r="G66" i="14" s="1"/>
  <c r="B65" i="14"/>
  <c r="H65" i="14"/>
  <c r="I65" i="14" s="1"/>
  <c r="C65" i="14" s="1"/>
  <c r="M76" i="4"/>
  <c r="P75" i="4"/>
  <c r="R75" i="4" s="1"/>
  <c r="P76" i="4" l="1"/>
  <c r="R76" i="4" s="1"/>
  <c r="S76" i="4" s="1"/>
  <c r="M77" i="4"/>
  <c r="J67" i="14"/>
  <c r="E67" i="14" s="1"/>
  <c r="G67" i="14" s="1"/>
  <c r="B66" i="14"/>
  <c r="H66" i="14"/>
  <c r="I66" i="14" s="1"/>
  <c r="C66" i="14" s="1"/>
  <c r="D238" i="14"/>
  <c r="F237" i="14"/>
  <c r="A237" i="14" s="1"/>
  <c r="S75" i="4"/>
  <c r="M78" i="4" l="1"/>
  <c r="P77" i="4"/>
  <c r="R77" i="4" s="1"/>
  <c r="D239" i="14"/>
  <c r="F238" i="14"/>
  <c r="A238" i="14" s="1"/>
  <c r="J68" i="14"/>
  <c r="E68" i="14" s="1"/>
  <c r="G68" i="14" s="1"/>
  <c r="B67" i="14"/>
  <c r="H67" i="14"/>
  <c r="I67" i="14" s="1"/>
  <c r="C67" i="14" s="1"/>
  <c r="S77" i="4" l="1"/>
  <c r="M79" i="4"/>
  <c r="P78" i="4"/>
  <c r="R78" i="4" s="1"/>
  <c r="J69" i="14"/>
  <c r="E69" i="14" s="1"/>
  <c r="G69" i="14" s="1"/>
  <c r="B68" i="14"/>
  <c r="H68" i="14"/>
  <c r="I68" i="14" s="1"/>
  <c r="C68" i="14" s="1"/>
  <c r="D240" i="14"/>
  <c r="F239" i="14"/>
  <c r="A239" i="14" s="1"/>
  <c r="S78" i="4" l="1"/>
  <c r="M80" i="4"/>
  <c r="P79" i="4"/>
  <c r="R79" i="4" s="1"/>
  <c r="D241" i="14"/>
  <c r="F240" i="14"/>
  <c r="A240" i="14" s="1"/>
  <c r="J70" i="14"/>
  <c r="E70" i="14" s="1"/>
  <c r="G70" i="14" s="1"/>
  <c r="B69" i="14"/>
  <c r="H69" i="14"/>
  <c r="I69" i="14" s="1"/>
  <c r="C69" i="14" s="1"/>
  <c r="S79" i="4" l="1"/>
  <c r="M81" i="4"/>
  <c r="P80" i="4"/>
  <c r="R80" i="4" s="1"/>
  <c r="J71" i="14"/>
  <c r="E71" i="14" s="1"/>
  <c r="G71" i="14" s="1"/>
  <c r="B70" i="14"/>
  <c r="H70" i="14"/>
  <c r="I70" i="14" s="1"/>
  <c r="C70" i="14" s="1"/>
  <c r="D242" i="14"/>
  <c r="F241" i="14"/>
  <c r="A241" i="14" s="1"/>
  <c r="P81" i="4" l="1"/>
  <c r="R81" i="4" s="1"/>
  <c r="S81" i="4" s="1"/>
  <c r="M82" i="4"/>
  <c r="S80" i="4"/>
  <c r="D243" i="14"/>
  <c r="F242" i="14"/>
  <c r="A242" i="14" s="1"/>
  <c r="J72" i="14"/>
  <c r="E72" i="14" s="1"/>
  <c r="G72" i="14" s="1"/>
  <c r="B71" i="14"/>
  <c r="H71" i="14"/>
  <c r="I71" i="14" s="1"/>
  <c r="C71" i="14" s="1"/>
  <c r="M83" i="4" l="1"/>
  <c r="P82" i="4"/>
  <c r="R82" i="4" s="1"/>
  <c r="J73" i="14"/>
  <c r="E73" i="14" s="1"/>
  <c r="G73" i="14" s="1"/>
  <c r="B72" i="14"/>
  <c r="H72" i="14"/>
  <c r="I72" i="14" s="1"/>
  <c r="C72" i="14" s="1"/>
  <c r="D244" i="14"/>
  <c r="F243" i="14"/>
  <c r="A243" i="14" s="1"/>
  <c r="S82" i="4" l="1"/>
  <c r="M84" i="4"/>
  <c r="P83" i="4"/>
  <c r="R83" i="4" s="1"/>
  <c r="D245" i="14"/>
  <c r="F244" i="14"/>
  <c r="A244" i="14" s="1"/>
  <c r="J74" i="14"/>
  <c r="E74" i="14" s="1"/>
  <c r="G74" i="14" s="1"/>
  <c r="B73" i="14"/>
  <c r="H73" i="14"/>
  <c r="I73" i="14" s="1"/>
  <c r="C73" i="14" s="1"/>
  <c r="M85" i="4" l="1"/>
  <c r="P84" i="4"/>
  <c r="R84" i="4" s="1"/>
  <c r="S83" i="4"/>
  <c r="J75" i="14"/>
  <c r="E75" i="14" s="1"/>
  <c r="G75" i="14" s="1"/>
  <c r="B74" i="14"/>
  <c r="H74" i="14"/>
  <c r="I74" i="14" s="1"/>
  <c r="C74" i="14" s="1"/>
  <c r="D246" i="14"/>
  <c r="F245" i="14"/>
  <c r="A245" i="14" s="1"/>
  <c r="M86" i="4" l="1"/>
  <c r="P85" i="4"/>
  <c r="R85" i="4" s="1"/>
  <c r="S84" i="4"/>
  <c r="D247" i="14"/>
  <c r="F246" i="14"/>
  <c r="A246" i="14" s="1"/>
  <c r="J76" i="14"/>
  <c r="E76" i="14" s="1"/>
  <c r="G76" i="14" s="1"/>
  <c r="B75" i="14"/>
  <c r="H75" i="14"/>
  <c r="I75" i="14" s="1"/>
  <c r="C75" i="14" s="1"/>
  <c r="M87" i="4" l="1"/>
  <c r="P86" i="4"/>
  <c r="R86" i="4" s="1"/>
  <c r="S86" i="4" s="1"/>
  <c r="S85" i="4"/>
  <c r="J77" i="14"/>
  <c r="E77" i="14" s="1"/>
  <c r="G77" i="14" s="1"/>
  <c r="B76" i="14"/>
  <c r="H76" i="14"/>
  <c r="I76" i="14" s="1"/>
  <c r="C76" i="14" s="1"/>
  <c r="D248" i="14"/>
  <c r="F247" i="14"/>
  <c r="A247" i="14" s="1"/>
  <c r="M88" i="4" l="1"/>
  <c r="P87" i="4"/>
  <c r="R87" i="4" s="1"/>
  <c r="D249" i="14"/>
  <c r="F248" i="14"/>
  <c r="A248" i="14" s="1"/>
  <c r="J78" i="14"/>
  <c r="E78" i="14" s="1"/>
  <c r="G78" i="14" s="1"/>
  <c r="B77" i="14"/>
  <c r="H77" i="14"/>
  <c r="I77" i="14" s="1"/>
  <c r="C77" i="14" s="1"/>
  <c r="S87" i="4" l="1"/>
  <c r="M89" i="4"/>
  <c r="P88" i="4"/>
  <c r="R88" i="4" s="1"/>
  <c r="S88" i="4" s="1"/>
  <c r="J79" i="14"/>
  <c r="E79" i="14" s="1"/>
  <c r="G79" i="14" s="1"/>
  <c r="B78" i="14"/>
  <c r="H78" i="14"/>
  <c r="I78" i="14" s="1"/>
  <c r="C78" i="14" s="1"/>
  <c r="D250" i="14"/>
  <c r="F249" i="14"/>
  <c r="A249" i="14" s="1"/>
  <c r="M90" i="4" l="1"/>
  <c r="P89" i="4"/>
  <c r="R89" i="4" s="1"/>
  <c r="S89" i="4" s="1"/>
  <c r="D251" i="14"/>
  <c r="F250" i="14"/>
  <c r="A250" i="14" s="1"/>
  <c r="J80" i="14"/>
  <c r="E80" i="14" s="1"/>
  <c r="G80" i="14" s="1"/>
  <c r="B79" i="14"/>
  <c r="H79" i="14"/>
  <c r="I79" i="14" s="1"/>
  <c r="C79" i="14" s="1"/>
  <c r="M91" i="4" l="1"/>
  <c r="P90" i="4"/>
  <c r="R90" i="4" s="1"/>
  <c r="S90" i="4" s="1"/>
  <c r="J81" i="14"/>
  <c r="E81" i="14" s="1"/>
  <c r="G81" i="14" s="1"/>
  <c r="B80" i="14"/>
  <c r="H80" i="14"/>
  <c r="I80" i="14" s="1"/>
  <c r="C80" i="14" s="1"/>
  <c r="D252" i="14"/>
  <c r="F251" i="14"/>
  <c r="A251" i="14" s="1"/>
  <c r="M92" i="4" l="1"/>
  <c r="P91" i="4"/>
  <c r="R91" i="4" s="1"/>
  <c r="S91" i="4" s="1"/>
  <c r="D253" i="14"/>
  <c r="F252" i="14"/>
  <c r="A252" i="14" s="1"/>
  <c r="J82" i="14"/>
  <c r="E82" i="14" s="1"/>
  <c r="G82" i="14" s="1"/>
  <c r="B81" i="14"/>
  <c r="H81" i="14"/>
  <c r="I81" i="14" s="1"/>
  <c r="C81" i="14" s="1"/>
  <c r="M93" i="4" l="1"/>
  <c r="P92" i="4"/>
  <c r="R92" i="4" s="1"/>
  <c r="S92" i="4" s="1"/>
  <c r="J83" i="14"/>
  <c r="E83" i="14" s="1"/>
  <c r="G83" i="14" s="1"/>
  <c r="B82" i="14"/>
  <c r="H82" i="14"/>
  <c r="I82" i="14" s="1"/>
  <c r="C82" i="14" s="1"/>
  <c r="D254" i="14"/>
  <c r="F253" i="14"/>
  <c r="A253" i="14" s="1"/>
  <c r="M94" i="4" l="1"/>
  <c r="P94" i="4" s="1"/>
  <c r="R94" i="4" s="1"/>
  <c r="P93" i="4"/>
  <c r="R93" i="4" s="1"/>
  <c r="S93" i="4" s="1"/>
  <c r="D255" i="14"/>
  <c r="F254" i="14"/>
  <c r="A254" i="14" s="1"/>
  <c r="J84" i="14"/>
  <c r="E84" i="14" s="1"/>
  <c r="G84" i="14" s="1"/>
  <c r="B83" i="14"/>
  <c r="H83" i="14"/>
  <c r="I83" i="14" s="1"/>
  <c r="C83" i="14" s="1"/>
  <c r="S94" i="4" l="1"/>
  <c r="J85" i="14"/>
  <c r="E85" i="14" s="1"/>
  <c r="G85" i="14" s="1"/>
  <c r="B84" i="14"/>
  <c r="H84" i="14"/>
  <c r="I84" i="14" s="1"/>
  <c r="C84" i="14" s="1"/>
  <c r="D256" i="14"/>
  <c r="F255" i="14"/>
  <c r="A255" i="14" s="1"/>
  <c r="D257" i="14" l="1"/>
  <c r="F256" i="14"/>
  <c r="A256" i="14" s="1"/>
  <c r="J86" i="14"/>
  <c r="E86" i="14" s="1"/>
  <c r="G86" i="14" s="1"/>
  <c r="B85" i="14"/>
  <c r="H85" i="14"/>
  <c r="I85" i="14" s="1"/>
  <c r="C85" i="14" s="1"/>
  <c r="J87" i="14" l="1"/>
  <c r="E87" i="14" s="1"/>
  <c r="G87" i="14" s="1"/>
  <c r="B86" i="14"/>
  <c r="H86" i="14"/>
  <c r="I86" i="14" s="1"/>
  <c r="C86" i="14" s="1"/>
  <c r="D258" i="14"/>
  <c r="F257" i="14"/>
  <c r="A257" i="14" s="1"/>
  <c r="D259" i="14" l="1"/>
  <c r="F258" i="14"/>
  <c r="A258" i="14" s="1"/>
  <c r="J88" i="14"/>
  <c r="E88" i="14" s="1"/>
  <c r="G88" i="14" s="1"/>
  <c r="B87" i="14"/>
  <c r="H87" i="14"/>
  <c r="I87" i="14" s="1"/>
  <c r="C87" i="14" s="1"/>
  <c r="J89" i="14" l="1"/>
  <c r="E89" i="14" s="1"/>
  <c r="G89" i="14" s="1"/>
  <c r="B88" i="14"/>
  <c r="H88" i="14"/>
  <c r="I88" i="14" s="1"/>
  <c r="C88" i="14" s="1"/>
  <c r="D260" i="14"/>
  <c r="F259" i="14"/>
  <c r="A259" i="14" s="1"/>
  <c r="D261" i="14" l="1"/>
  <c r="F260" i="14"/>
  <c r="A260" i="14" s="1"/>
  <c r="J90" i="14"/>
  <c r="E90" i="14" s="1"/>
  <c r="G90" i="14" s="1"/>
  <c r="B89" i="14"/>
  <c r="H89" i="14"/>
  <c r="I89" i="14" s="1"/>
  <c r="C89" i="14" s="1"/>
  <c r="J91" i="14" l="1"/>
  <c r="E91" i="14" s="1"/>
  <c r="G91" i="14" s="1"/>
  <c r="B90" i="14"/>
  <c r="H90" i="14"/>
  <c r="I90" i="14" s="1"/>
  <c r="C90" i="14" s="1"/>
  <c r="D262" i="14"/>
  <c r="F261" i="14"/>
  <c r="A261" i="14" s="1"/>
  <c r="D263" i="14" l="1"/>
  <c r="F262" i="14"/>
  <c r="A262" i="14" s="1"/>
  <c r="J92" i="14"/>
  <c r="E92" i="14" s="1"/>
  <c r="G92" i="14" s="1"/>
  <c r="B91" i="14"/>
  <c r="H91" i="14"/>
  <c r="I91" i="14" s="1"/>
  <c r="C91" i="14" s="1"/>
  <c r="J93" i="14" l="1"/>
  <c r="E93" i="14" s="1"/>
  <c r="G93" i="14" s="1"/>
  <c r="B92" i="14"/>
  <c r="H92" i="14"/>
  <c r="I92" i="14" s="1"/>
  <c r="C92" i="14" s="1"/>
  <c r="F263" i="14"/>
  <c r="A263" i="14" s="1"/>
  <c r="D264" i="14"/>
  <c r="D265" i="14" l="1"/>
  <c r="F264" i="14"/>
  <c r="A264" i="14" s="1"/>
  <c r="J94" i="14"/>
  <c r="E94" i="14" s="1"/>
  <c r="G94" i="14" s="1"/>
  <c r="B93" i="14"/>
  <c r="H93" i="14"/>
  <c r="I93" i="14" s="1"/>
  <c r="C93" i="14" s="1"/>
  <c r="J95" i="14" l="1"/>
  <c r="E95" i="14" s="1"/>
  <c r="G95" i="14" s="1"/>
  <c r="B94" i="14"/>
  <c r="H94" i="14"/>
  <c r="I94" i="14" s="1"/>
  <c r="C94" i="14" s="1"/>
  <c r="D266" i="14"/>
  <c r="F265" i="14"/>
  <c r="A265" i="14" s="1"/>
  <c r="D267" i="14" l="1"/>
  <c r="F266" i="14"/>
  <c r="A266" i="14" s="1"/>
  <c r="J96" i="14"/>
  <c r="E96" i="14" s="1"/>
  <c r="G96" i="14" s="1"/>
  <c r="B95" i="14"/>
  <c r="H95" i="14"/>
  <c r="I95" i="14" s="1"/>
  <c r="C95" i="14" s="1"/>
  <c r="J97" i="14" l="1"/>
  <c r="E97" i="14" s="1"/>
  <c r="G97" i="14" s="1"/>
  <c r="B96" i="14"/>
  <c r="H96" i="14"/>
  <c r="I96" i="14" s="1"/>
  <c r="C96" i="14" s="1"/>
  <c r="D268" i="14"/>
  <c r="F267" i="14"/>
  <c r="A267" i="14" s="1"/>
  <c r="D269" i="14" l="1"/>
  <c r="F268" i="14"/>
  <c r="A268" i="14" s="1"/>
  <c r="J98" i="14"/>
  <c r="E98" i="14" s="1"/>
  <c r="G98" i="14" s="1"/>
  <c r="B97" i="14"/>
  <c r="H97" i="14"/>
  <c r="I97" i="14" s="1"/>
  <c r="C97" i="14" s="1"/>
  <c r="J99" i="14" l="1"/>
  <c r="E99" i="14" s="1"/>
  <c r="G99" i="14" s="1"/>
  <c r="B98" i="14"/>
  <c r="H98" i="14"/>
  <c r="I98" i="14" s="1"/>
  <c r="C98" i="14" s="1"/>
  <c r="D270" i="14"/>
  <c r="F269" i="14"/>
  <c r="A269" i="14" s="1"/>
  <c r="D271" i="14" l="1"/>
  <c r="F270" i="14"/>
  <c r="A270" i="14" s="1"/>
  <c r="J100" i="14"/>
  <c r="E100" i="14" s="1"/>
  <c r="G100" i="14" s="1"/>
  <c r="B99" i="14"/>
  <c r="H99" i="14"/>
  <c r="I99" i="14" s="1"/>
  <c r="C99" i="14" s="1"/>
  <c r="J101" i="14" l="1"/>
  <c r="E101" i="14" s="1"/>
  <c r="G101" i="14" s="1"/>
  <c r="B100" i="14"/>
  <c r="H100" i="14"/>
  <c r="I100" i="14" s="1"/>
  <c r="C100" i="14" s="1"/>
  <c r="D272" i="14"/>
  <c r="F271" i="14"/>
  <c r="A271" i="14" s="1"/>
  <c r="D273" i="14" l="1"/>
  <c r="F272" i="14"/>
  <c r="A272" i="14" s="1"/>
  <c r="J102" i="14"/>
  <c r="E102" i="14" s="1"/>
  <c r="G102" i="14" s="1"/>
  <c r="B101" i="14"/>
  <c r="H101" i="14"/>
  <c r="I101" i="14" s="1"/>
  <c r="C101" i="14" s="1"/>
  <c r="J103" i="14" l="1"/>
  <c r="E103" i="14" s="1"/>
  <c r="G103" i="14" s="1"/>
  <c r="B102" i="14"/>
  <c r="H102" i="14"/>
  <c r="I102" i="14" s="1"/>
  <c r="C102" i="14" s="1"/>
  <c r="D274" i="14"/>
  <c r="F273" i="14"/>
  <c r="A273" i="14" s="1"/>
  <c r="D275" i="14" l="1"/>
  <c r="F274" i="14"/>
  <c r="A274" i="14" s="1"/>
  <c r="J104" i="14"/>
  <c r="E104" i="14" s="1"/>
  <c r="G104" i="14" s="1"/>
  <c r="B103" i="14"/>
  <c r="H103" i="14"/>
  <c r="I103" i="14" s="1"/>
  <c r="C103" i="14" s="1"/>
  <c r="J105" i="14" l="1"/>
  <c r="E105" i="14" s="1"/>
  <c r="G105" i="14" s="1"/>
  <c r="B104" i="14"/>
  <c r="H104" i="14"/>
  <c r="I104" i="14" s="1"/>
  <c r="C104" i="14" s="1"/>
  <c r="D276" i="14"/>
  <c r="F275" i="14"/>
  <c r="A275" i="14" s="1"/>
  <c r="D277" i="14" l="1"/>
  <c r="F276" i="14"/>
  <c r="A276" i="14" s="1"/>
  <c r="J106" i="14"/>
  <c r="E106" i="14" s="1"/>
  <c r="G106" i="14" s="1"/>
  <c r="B105" i="14"/>
  <c r="H105" i="14"/>
  <c r="I105" i="14" s="1"/>
  <c r="C105" i="14" s="1"/>
  <c r="J107" i="14" l="1"/>
  <c r="E107" i="14" s="1"/>
  <c r="G107" i="14" s="1"/>
  <c r="B106" i="14"/>
  <c r="H106" i="14"/>
  <c r="I106" i="14" s="1"/>
  <c r="C106" i="14" s="1"/>
  <c r="D278" i="14"/>
  <c r="F277" i="14"/>
  <c r="A277" i="14" s="1"/>
  <c r="D279" i="14" l="1"/>
  <c r="F278" i="14"/>
  <c r="A278" i="14" s="1"/>
  <c r="J108" i="14"/>
  <c r="E108" i="14" s="1"/>
  <c r="G108" i="14" s="1"/>
  <c r="B107" i="14"/>
  <c r="H107" i="14"/>
  <c r="I107" i="14" s="1"/>
  <c r="C107" i="14" s="1"/>
  <c r="J109" i="14" l="1"/>
  <c r="E109" i="14" s="1"/>
  <c r="G109" i="14" s="1"/>
  <c r="B108" i="14"/>
  <c r="H108" i="14"/>
  <c r="I108" i="14" s="1"/>
  <c r="C108" i="14" s="1"/>
  <c r="D280" i="14"/>
  <c r="F279" i="14"/>
  <c r="A279" i="14" s="1"/>
  <c r="D281" i="14" l="1"/>
  <c r="F280" i="14"/>
  <c r="A280" i="14" s="1"/>
  <c r="J110" i="14"/>
  <c r="E110" i="14" s="1"/>
  <c r="G110" i="14" s="1"/>
  <c r="B109" i="14"/>
  <c r="H109" i="14"/>
  <c r="I109" i="14" s="1"/>
  <c r="C109" i="14" s="1"/>
  <c r="J111" i="14" l="1"/>
  <c r="E111" i="14" s="1"/>
  <c r="G111" i="14" s="1"/>
  <c r="B110" i="14"/>
  <c r="H110" i="14"/>
  <c r="I110" i="14" s="1"/>
  <c r="C110" i="14" s="1"/>
  <c r="D282" i="14"/>
  <c r="F281" i="14"/>
  <c r="A281" i="14" s="1"/>
  <c r="D283" i="14" l="1"/>
  <c r="F282" i="14"/>
  <c r="A282" i="14" s="1"/>
  <c r="J112" i="14"/>
  <c r="E112" i="14" s="1"/>
  <c r="G112" i="14" s="1"/>
  <c r="B111" i="14"/>
  <c r="H111" i="14"/>
  <c r="I111" i="14" s="1"/>
  <c r="C111" i="14" s="1"/>
  <c r="J113" i="14" l="1"/>
  <c r="E113" i="14" s="1"/>
  <c r="G113" i="14" s="1"/>
  <c r="B112" i="14"/>
  <c r="H112" i="14"/>
  <c r="I112" i="14" s="1"/>
  <c r="C112" i="14" s="1"/>
  <c r="D284" i="14"/>
  <c r="F283" i="14"/>
  <c r="A283" i="14" s="1"/>
  <c r="D285" i="14" l="1"/>
  <c r="F284" i="14"/>
  <c r="A284" i="14" s="1"/>
  <c r="J114" i="14"/>
  <c r="E114" i="14" s="1"/>
  <c r="G114" i="14" s="1"/>
  <c r="B113" i="14"/>
  <c r="H113" i="14"/>
  <c r="I113" i="14" s="1"/>
  <c r="C113" i="14" s="1"/>
  <c r="J115" i="14" l="1"/>
  <c r="E115" i="14" s="1"/>
  <c r="G115" i="14" s="1"/>
  <c r="B114" i="14"/>
  <c r="H114" i="14"/>
  <c r="I114" i="14" s="1"/>
  <c r="C114" i="14" s="1"/>
  <c r="D286" i="14"/>
  <c r="F285" i="14"/>
  <c r="A285" i="14" s="1"/>
  <c r="D287" i="14" l="1"/>
  <c r="F286" i="14"/>
  <c r="A286" i="14" s="1"/>
  <c r="J116" i="14"/>
  <c r="E116" i="14" s="1"/>
  <c r="G116" i="14" s="1"/>
  <c r="B115" i="14"/>
  <c r="H115" i="14"/>
  <c r="I115" i="14" s="1"/>
  <c r="C115" i="14" s="1"/>
  <c r="J117" i="14" l="1"/>
  <c r="E117" i="14" s="1"/>
  <c r="G117" i="14" s="1"/>
  <c r="B116" i="14"/>
  <c r="H116" i="14"/>
  <c r="I116" i="14" s="1"/>
  <c r="C116" i="14" s="1"/>
  <c r="F287" i="14"/>
  <c r="A287" i="14" s="1"/>
  <c r="D288" i="14"/>
  <c r="D289" i="14" l="1"/>
  <c r="F288" i="14"/>
  <c r="A288" i="14" s="1"/>
  <c r="J118" i="14"/>
  <c r="E118" i="14" s="1"/>
  <c r="G118" i="14" s="1"/>
  <c r="B117" i="14"/>
  <c r="H117" i="14"/>
  <c r="I117" i="14" s="1"/>
  <c r="C117" i="14" s="1"/>
  <c r="J119" i="14" l="1"/>
  <c r="E119" i="14" s="1"/>
  <c r="G119" i="14" s="1"/>
  <c r="B118" i="14"/>
  <c r="H118" i="14"/>
  <c r="I118" i="14" s="1"/>
  <c r="C118" i="14" s="1"/>
  <c r="D290" i="14"/>
  <c r="F289" i="14"/>
  <c r="A289" i="14" s="1"/>
  <c r="F290" i="14" l="1"/>
  <c r="A290" i="14" s="1"/>
  <c r="D291" i="14"/>
  <c r="J120" i="14"/>
  <c r="E120" i="14" s="1"/>
  <c r="G120" i="14" s="1"/>
  <c r="B119" i="14"/>
  <c r="H119" i="14"/>
  <c r="I119" i="14" s="1"/>
  <c r="C119" i="14" s="1"/>
  <c r="J121" i="14" l="1"/>
  <c r="E121" i="14" s="1"/>
  <c r="G121" i="14" s="1"/>
  <c r="B120" i="14"/>
  <c r="H120" i="14"/>
  <c r="I120" i="14" s="1"/>
  <c r="C120" i="14" s="1"/>
  <c r="D292" i="14"/>
  <c r="F291" i="14"/>
  <c r="A291" i="14" s="1"/>
  <c r="D293" i="14" l="1"/>
  <c r="F292" i="14"/>
  <c r="A292" i="14" s="1"/>
  <c r="J122" i="14"/>
  <c r="E122" i="14" s="1"/>
  <c r="G122" i="14" s="1"/>
  <c r="B121" i="14"/>
  <c r="H121" i="14"/>
  <c r="I121" i="14" s="1"/>
  <c r="C121" i="14" s="1"/>
  <c r="J123" i="14" l="1"/>
  <c r="E123" i="14" s="1"/>
  <c r="G123" i="14" s="1"/>
  <c r="B122" i="14"/>
  <c r="H122" i="14"/>
  <c r="I122" i="14" s="1"/>
  <c r="C122" i="14" s="1"/>
  <c r="F293" i="14"/>
  <c r="A293" i="14" s="1"/>
  <c r="D294" i="14"/>
  <c r="D295" i="14" l="1"/>
  <c r="F294" i="14"/>
  <c r="A294" i="14" s="1"/>
  <c r="J124" i="14"/>
  <c r="E124" i="14" s="1"/>
  <c r="G124" i="14" s="1"/>
  <c r="B123" i="14"/>
  <c r="H123" i="14"/>
  <c r="I123" i="14" s="1"/>
  <c r="C123" i="14" s="1"/>
  <c r="J125" i="14" l="1"/>
  <c r="E125" i="14" s="1"/>
  <c r="G125" i="14" s="1"/>
  <c r="B124" i="14"/>
  <c r="H124" i="14"/>
  <c r="I124" i="14" s="1"/>
  <c r="C124" i="14" s="1"/>
  <c r="D296" i="14"/>
  <c r="F295" i="14"/>
  <c r="A295" i="14" s="1"/>
  <c r="D297" i="14" l="1"/>
  <c r="F296" i="14"/>
  <c r="A296" i="14" s="1"/>
  <c r="J126" i="14"/>
  <c r="E126" i="14" s="1"/>
  <c r="G126" i="14" s="1"/>
  <c r="B125" i="14"/>
  <c r="H125" i="14"/>
  <c r="I125" i="14" s="1"/>
  <c r="C125" i="14" s="1"/>
  <c r="J127" i="14" l="1"/>
  <c r="E127" i="14" s="1"/>
  <c r="G127" i="14" s="1"/>
  <c r="B126" i="14"/>
  <c r="H126" i="14"/>
  <c r="I126" i="14" s="1"/>
  <c r="C126" i="14" s="1"/>
  <c r="D298" i="14"/>
  <c r="F297" i="14"/>
  <c r="A297" i="14" s="1"/>
  <c r="D299" i="14" l="1"/>
  <c r="F298" i="14"/>
  <c r="A298" i="14" s="1"/>
  <c r="J128" i="14"/>
  <c r="E128" i="14" s="1"/>
  <c r="G128" i="14" s="1"/>
  <c r="B127" i="14"/>
  <c r="H127" i="14"/>
  <c r="I127" i="14" s="1"/>
  <c r="C127" i="14" s="1"/>
  <c r="J129" i="14" l="1"/>
  <c r="E129" i="14" s="1"/>
  <c r="G129" i="14" s="1"/>
  <c r="B128" i="14"/>
  <c r="H128" i="14"/>
  <c r="I128" i="14" s="1"/>
  <c r="C128" i="14" s="1"/>
  <c r="D300" i="14"/>
  <c r="F299" i="14"/>
  <c r="A299" i="14" s="1"/>
  <c r="D301" i="14" l="1"/>
  <c r="F300" i="14"/>
  <c r="A300" i="14" s="1"/>
  <c r="J130" i="14"/>
  <c r="E130" i="14" s="1"/>
  <c r="G130" i="14" s="1"/>
  <c r="B129" i="14"/>
  <c r="H129" i="14"/>
  <c r="I129" i="14" s="1"/>
  <c r="C129" i="14" s="1"/>
  <c r="J131" i="14" l="1"/>
  <c r="E131" i="14" s="1"/>
  <c r="G131" i="14" s="1"/>
  <c r="B130" i="14"/>
  <c r="H130" i="14"/>
  <c r="I130" i="14" s="1"/>
  <c r="C130" i="14" s="1"/>
  <c r="D302" i="14"/>
  <c r="F301" i="14"/>
  <c r="A301" i="14" s="1"/>
  <c r="D303" i="14" l="1"/>
  <c r="F302" i="14"/>
  <c r="A302" i="14" s="1"/>
  <c r="J132" i="14"/>
  <c r="E132" i="14" s="1"/>
  <c r="G132" i="14" s="1"/>
  <c r="B131" i="14"/>
  <c r="H131" i="14"/>
  <c r="I131" i="14" s="1"/>
  <c r="C131" i="14" s="1"/>
  <c r="J133" i="14" l="1"/>
  <c r="E133" i="14" s="1"/>
  <c r="G133" i="14" s="1"/>
  <c r="B132" i="14"/>
  <c r="H132" i="14"/>
  <c r="I132" i="14" s="1"/>
  <c r="C132" i="14" s="1"/>
  <c r="D304" i="14"/>
  <c r="F303" i="14"/>
  <c r="A303" i="14" s="1"/>
  <c r="D305" i="14" l="1"/>
  <c r="F304" i="14"/>
  <c r="A304" i="14" s="1"/>
  <c r="J134" i="14"/>
  <c r="E134" i="14" s="1"/>
  <c r="G134" i="14" s="1"/>
  <c r="B133" i="14"/>
  <c r="H133" i="14"/>
  <c r="I133" i="14" s="1"/>
  <c r="C133" i="14" s="1"/>
  <c r="J135" i="14" l="1"/>
  <c r="E135" i="14" s="1"/>
  <c r="G135" i="14" s="1"/>
  <c r="B134" i="14"/>
  <c r="H134" i="14"/>
  <c r="I134" i="14" s="1"/>
  <c r="C134" i="14" s="1"/>
  <c r="D306" i="14"/>
  <c r="F305" i="14"/>
  <c r="A305" i="14" s="1"/>
  <c r="D307" i="14" l="1"/>
  <c r="F306" i="14"/>
  <c r="A306" i="14" s="1"/>
  <c r="J136" i="14"/>
  <c r="E136" i="14" s="1"/>
  <c r="G136" i="14" s="1"/>
  <c r="B135" i="14"/>
  <c r="H135" i="14"/>
  <c r="I135" i="14" s="1"/>
  <c r="C135" i="14" s="1"/>
  <c r="J137" i="14" l="1"/>
  <c r="E137" i="14" s="1"/>
  <c r="G137" i="14" s="1"/>
  <c r="B136" i="14"/>
  <c r="H136" i="14"/>
  <c r="I136" i="14" s="1"/>
  <c r="C136" i="14" s="1"/>
  <c r="D308" i="14"/>
  <c r="F307" i="14"/>
  <c r="A307" i="14" s="1"/>
  <c r="D309" i="14" l="1"/>
  <c r="F308" i="14"/>
  <c r="A308" i="14" s="1"/>
  <c r="J138" i="14"/>
  <c r="E138" i="14" s="1"/>
  <c r="G138" i="14" s="1"/>
  <c r="B137" i="14"/>
  <c r="H137" i="14"/>
  <c r="I137" i="14" s="1"/>
  <c r="C137" i="14" s="1"/>
  <c r="J139" i="14" l="1"/>
  <c r="E139" i="14" s="1"/>
  <c r="G139" i="14" s="1"/>
  <c r="B138" i="14"/>
  <c r="H138" i="14"/>
  <c r="I138" i="14" s="1"/>
  <c r="C138" i="14" s="1"/>
  <c r="D310" i="14"/>
  <c r="F309" i="14"/>
  <c r="A309" i="14" s="1"/>
  <c r="D311" i="14" l="1"/>
  <c r="F310" i="14"/>
  <c r="A310" i="14" s="1"/>
  <c r="J140" i="14"/>
  <c r="E140" i="14" s="1"/>
  <c r="G140" i="14" s="1"/>
  <c r="B139" i="14"/>
  <c r="H139" i="14"/>
  <c r="I139" i="14" s="1"/>
  <c r="C139" i="14" s="1"/>
  <c r="J141" i="14" l="1"/>
  <c r="E141" i="14" s="1"/>
  <c r="G141" i="14" s="1"/>
  <c r="B140" i="14"/>
  <c r="H140" i="14"/>
  <c r="I140" i="14" s="1"/>
  <c r="C140" i="14" s="1"/>
  <c r="D312" i="14"/>
  <c r="F311" i="14"/>
  <c r="A311" i="14" s="1"/>
  <c r="D313" i="14" l="1"/>
  <c r="F312" i="14"/>
  <c r="A312" i="14" s="1"/>
  <c r="J142" i="14"/>
  <c r="E142" i="14" s="1"/>
  <c r="G142" i="14" s="1"/>
  <c r="B141" i="14"/>
  <c r="H141" i="14"/>
  <c r="I141" i="14" s="1"/>
  <c r="C141" i="14" s="1"/>
  <c r="J143" i="14" l="1"/>
  <c r="E143" i="14" s="1"/>
  <c r="G143" i="14" s="1"/>
  <c r="B142" i="14"/>
  <c r="H142" i="14"/>
  <c r="I142" i="14" s="1"/>
  <c r="C142" i="14" s="1"/>
  <c r="D314" i="14"/>
  <c r="F313" i="14"/>
  <c r="A313" i="14" s="1"/>
  <c r="D315" i="14" l="1"/>
  <c r="F314" i="14"/>
  <c r="A314" i="14" s="1"/>
  <c r="J144" i="14"/>
  <c r="E144" i="14" s="1"/>
  <c r="G144" i="14" s="1"/>
  <c r="B143" i="14"/>
  <c r="H143" i="14"/>
  <c r="I143" i="14" s="1"/>
  <c r="C143" i="14" s="1"/>
  <c r="J145" i="14" l="1"/>
  <c r="E145" i="14" s="1"/>
  <c r="G145" i="14" s="1"/>
  <c r="B144" i="14"/>
  <c r="H144" i="14"/>
  <c r="I144" i="14" s="1"/>
  <c r="C144" i="14" s="1"/>
  <c r="D316" i="14"/>
  <c r="F315" i="14"/>
  <c r="A315" i="14" s="1"/>
  <c r="D317" i="14" l="1"/>
  <c r="F316" i="14"/>
  <c r="A316" i="14" s="1"/>
  <c r="J146" i="14"/>
  <c r="E146" i="14" s="1"/>
  <c r="G146" i="14" s="1"/>
  <c r="B145" i="14"/>
  <c r="H145" i="14"/>
  <c r="I145" i="14" s="1"/>
  <c r="C145" i="14" s="1"/>
  <c r="J147" i="14" l="1"/>
  <c r="E147" i="14" s="1"/>
  <c r="G147" i="14" s="1"/>
  <c r="B146" i="14"/>
  <c r="H146" i="14"/>
  <c r="I146" i="14" s="1"/>
  <c r="C146" i="14" s="1"/>
  <c r="D318" i="14"/>
  <c r="F317" i="14"/>
  <c r="A317" i="14" s="1"/>
  <c r="D319" i="14" l="1"/>
  <c r="F318" i="14"/>
  <c r="A318" i="14" s="1"/>
  <c r="J148" i="14"/>
  <c r="E148" i="14" s="1"/>
  <c r="G148" i="14" s="1"/>
  <c r="B147" i="14"/>
  <c r="H147" i="14"/>
  <c r="I147" i="14" s="1"/>
  <c r="C147" i="14" s="1"/>
  <c r="J149" i="14" l="1"/>
  <c r="E149" i="14" s="1"/>
  <c r="G149" i="14" s="1"/>
  <c r="B148" i="14"/>
  <c r="H148" i="14"/>
  <c r="I148" i="14" s="1"/>
  <c r="C148" i="14" s="1"/>
  <c r="D320" i="14"/>
  <c r="F319" i="14"/>
  <c r="A319" i="14" s="1"/>
  <c r="D321" i="14" l="1"/>
  <c r="F320" i="14"/>
  <c r="A320" i="14" s="1"/>
  <c r="J150" i="14"/>
  <c r="E150" i="14" s="1"/>
  <c r="G150" i="14" s="1"/>
  <c r="B149" i="14"/>
  <c r="H149" i="14"/>
  <c r="I149" i="14" s="1"/>
  <c r="C149" i="14" s="1"/>
  <c r="J151" i="14" l="1"/>
  <c r="E151" i="14" s="1"/>
  <c r="G151" i="14" s="1"/>
  <c r="B150" i="14"/>
  <c r="H150" i="14"/>
  <c r="I150" i="14" s="1"/>
  <c r="C150" i="14" s="1"/>
  <c r="D322" i="14"/>
  <c r="F321" i="14"/>
  <c r="A321" i="14" s="1"/>
  <c r="D323" i="14" l="1"/>
  <c r="F322" i="14"/>
  <c r="A322" i="14" s="1"/>
  <c r="J152" i="14"/>
  <c r="E152" i="14" s="1"/>
  <c r="G152" i="14" s="1"/>
  <c r="B151" i="14"/>
  <c r="H151" i="14"/>
  <c r="I151" i="14" s="1"/>
  <c r="C151" i="14" s="1"/>
  <c r="J153" i="14" l="1"/>
  <c r="E153" i="14" s="1"/>
  <c r="G153" i="14" s="1"/>
  <c r="B152" i="14"/>
  <c r="H152" i="14"/>
  <c r="I152" i="14" s="1"/>
  <c r="C152" i="14" s="1"/>
  <c r="D324" i="14"/>
  <c r="F323" i="14"/>
  <c r="A323" i="14" s="1"/>
  <c r="D325" i="14" l="1"/>
  <c r="F324" i="14"/>
  <c r="A324" i="14" s="1"/>
  <c r="J154" i="14"/>
  <c r="E154" i="14" s="1"/>
  <c r="G154" i="14" s="1"/>
  <c r="B153" i="14"/>
  <c r="H153" i="14"/>
  <c r="I153" i="14" s="1"/>
  <c r="C153" i="14" s="1"/>
  <c r="J155" i="14" l="1"/>
  <c r="E155" i="14" s="1"/>
  <c r="G155" i="14" s="1"/>
  <c r="B154" i="14"/>
  <c r="H154" i="14"/>
  <c r="I154" i="14" s="1"/>
  <c r="C154" i="14" s="1"/>
  <c r="D326" i="14"/>
  <c r="F325" i="14"/>
  <c r="A325" i="14" s="1"/>
  <c r="D327" i="14" l="1"/>
  <c r="F326" i="14"/>
  <c r="A326" i="14" s="1"/>
  <c r="J156" i="14"/>
  <c r="E156" i="14" s="1"/>
  <c r="G156" i="14" s="1"/>
  <c r="B155" i="14"/>
  <c r="H155" i="14"/>
  <c r="I155" i="14" s="1"/>
  <c r="C155" i="14" s="1"/>
  <c r="J157" i="14" l="1"/>
  <c r="E157" i="14" s="1"/>
  <c r="G157" i="14" s="1"/>
  <c r="B156" i="14"/>
  <c r="H156" i="14"/>
  <c r="I156" i="14" s="1"/>
  <c r="C156" i="14" s="1"/>
  <c r="D328" i="14"/>
  <c r="F327" i="14"/>
  <c r="A327" i="14" s="1"/>
  <c r="D329" i="14" l="1"/>
  <c r="F328" i="14"/>
  <c r="A328" i="14" s="1"/>
  <c r="J158" i="14"/>
  <c r="E158" i="14" s="1"/>
  <c r="G158" i="14" s="1"/>
  <c r="B157" i="14"/>
  <c r="H157" i="14"/>
  <c r="I157" i="14" s="1"/>
  <c r="C157" i="14" s="1"/>
  <c r="J159" i="14" l="1"/>
  <c r="E159" i="14" s="1"/>
  <c r="G159" i="14" s="1"/>
  <c r="B158" i="14"/>
  <c r="H158" i="14"/>
  <c r="I158" i="14" s="1"/>
  <c r="C158" i="14" s="1"/>
  <c r="D330" i="14"/>
  <c r="F329" i="14"/>
  <c r="A329" i="14" s="1"/>
  <c r="D331" i="14" l="1"/>
  <c r="F330" i="14"/>
  <c r="A330" i="14" s="1"/>
  <c r="J160" i="14"/>
  <c r="E160" i="14" s="1"/>
  <c r="G160" i="14" s="1"/>
  <c r="B159" i="14"/>
  <c r="H159" i="14"/>
  <c r="I159" i="14" s="1"/>
  <c r="C159" i="14" s="1"/>
  <c r="J161" i="14" l="1"/>
  <c r="E161" i="14" s="1"/>
  <c r="G161" i="14" s="1"/>
  <c r="B160" i="14"/>
  <c r="H160" i="14"/>
  <c r="I160" i="14" s="1"/>
  <c r="C160" i="14" s="1"/>
  <c r="D332" i="14"/>
  <c r="F331" i="14"/>
  <c r="A331" i="14" s="1"/>
  <c r="D333" i="14" l="1"/>
  <c r="F332" i="14"/>
  <c r="A332" i="14" s="1"/>
  <c r="J162" i="14"/>
  <c r="E162" i="14" s="1"/>
  <c r="G162" i="14" s="1"/>
  <c r="B161" i="14"/>
  <c r="H161" i="14"/>
  <c r="I161" i="14" s="1"/>
  <c r="C161" i="14" s="1"/>
  <c r="J163" i="14" l="1"/>
  <c r="E163" i="14" s="1"/>
  <c r="G163" i="14" s="1"/>
  <c r="B162" i="14"/>
  <c r="H162" i="14"/>
  <c r="I162" i="14" s="1"/>
  <c r="C162" i="14" s="1"/>
  <c r="D334" i="14"/>
  <c r="F333" i="14"/>
  <c r="A333" i="14" s="1"/>
  <c r="D335" i="14" l="1"/>
  <c r="F334" i="14"/>
  <c r="A334" i="14" s="1"/>
  <c r="J164" i="14"/>
  <c r="E164" i="14" s="1"/>
  <c r="G164" i="14" s="1"/>
  <c r="B163" i="14"/>
  <c r="H163" i="14"/>
  <c r="I163" i="14" s="1"/>
  <c r="C163" i="14" s="1"/>
  <c r="J165" i="14" l="1"/>
  <c r="E165" i="14" s="1"/>
  <c r="G165" i="14" s="1"/>
  <c r="B164" i="14"/>
  <c r="H164" i="14"/>
  <c r="I164" i="14" s="1"/>
  <c r="C164" i="14" s="1"/>
  <c r="D336" i="14"/>
  <c r="F335" i="14"/>
  <c r="A335" i="14" s="1"/>
  <c r="D337" i="14" l="1"/>
  <c r="F336" i="14"/>
  <c r="A336" i="14" s="1"/>
  <c r="J166" i="14"/>
  <c r="E166" i="14" s="1"/>
  <c r="G166" i="14" s="1"/>
  <c r="B165" i="14"/>
  <c r="H165" i="14"/>
  <c r="I165" i="14" s="1"/>
  <c r="C165" i="14" s="1"/>
  <c r="J167" i="14" l="1"/>
  <c r="E167" i="14" s="1"/>
  <c r="G167" i="14" s="1"/>
  <c r="B166" i="14"/>
  <c r="H166" i="14"/>
  <c r="I166" i="14" s="1"/>
  <c r="C166" i="14" s="1"/>
  <c r="D338" i="14"/>
  <c r="F337" i="14"/>
  <c r="A337" i="14" s="1"/>
  <c r="D339" i="14" l="1"/>
  <c r="F338" i="14"/>
  <c r="A338" i="14" s="1"/>
  <c r="J168" i="14"/>
  <c r="E168" i="14" s="1"/>
  <c r="G168" i="14" s="1"/>
  <c r="B167" i="14"/>
  <c r="H167" i="14"/>
  <c r="I167" i="14" s="1"/>
  <c r="C167" i="14" s="1"/>
  <c r="J169" i="14" l="1"/>
  <c r="E169" i="14" s="1"/>
  <c r="G169" i="14" s="1"/>
  <c r="B168" i="14"/>
  <c r="H168" i="14"/>
  <c r="I168" i="14" s="1"/>
  <c r="C168" i="14" s="1"/>
  <c r="D340" i="14"/>
  <c r="F339" i="14"/>
  <c r="A339" i="14" s="1"/>
  <c r="D341" i="14" l="1"/>
  <c r="F340" i="14"/>
  <c r="A340" i="14" s="1"/>
  <c r="J170" i="14"/>
  <c r="E170" i="14" s="1"/>
  <c r="G170" i="14" s="1"/>
  <c r="B169" i="14"/>
  <c r="H169" i="14"/>
  <c r="I169" i="14" s="1"/>
  <c r="C169" i="14" s="1"/>
  <c r="J171" i="14" l="1"/>
  <c r="E171" i="14" s="1"/>
  <c r="G171" i="14" s="1"/>
  <c r="B170" i="14"/>
  <c r="H170" i="14"/>
  <c r="I170" i="14" s="1"/>
  <c r="C170" i="14" s="1"/>
  <c r="D342" i="14"/>
  <c r="F341" i="14"/>
  <c r="A341" i="14" s="1"/>
  <c r="D343" i="14" l="1"/>
  <c r="F342" i="14"/>
  <c r="A342" i="14" s="1"/>
  <c r="J172" i="14"/>
  <c r="E172" i="14" s="1"/>
  <c r="G172" i="14" s="1"/>
  <c r="B171" i="14"/>
  <c r="H171" i="14"/>
  <c r="I171" i="14" s="1"/>
  <c r="C171" i="14" s="1"/>
  <c r="J173" i="14" l="1"/>
  <c r="E173" i="14" s="1"/>
  <c r="G173" i="14" s="1"/>
  <c r="B172" i="14"/>
  <c r="H172" i="14"/>
  <c r="I172" i="14" s="1"/>
  <c r="C172" i="14" s="1"/>
  <c r="D344" i="14"/>
  <c r="F343" i="14"/>
  <c r="A343" i="14" s="1"/>
  <c r="D345" i="14" l="1"/>
  <c r="F344" i="14"/>
  <c r="A344" i="14" s="1"/>
  <c r="J174" i="14"/>
  <c r="E174" i="14" s="1"/>
  <c r="G174" i="14" s="1"/>
  <c r="B173" i="14"/>
  <c r="H173" i="14"/>
  <c r="I173" i="14" s="1"/>
  <c r="C173" i="14" s="1"/>
  <c r="J175" i="14" l="1"/>
  <c r="E175" i="14" s="1"/>
  <c r="G175" i="14" s="1"/>
  <c r="B174" i="14"/>
  <c r="H174" i="14"/>
  <c r="I174" i="14" s="1"/>
  <c r="C174" i="14" s="1"/>
  <c r="D346" i="14"/>
  <c r="F345" i="14"/>
  <c r="A345" i="14" s="1"/>
  <c r="D347" i="14" l="1"/>
  <c r="F346" i="14"/>
  <c r="A346" i="14" s="1"/>
  <c r="J176" i="14"/>
  <c r="E176" i="14" s="1"/>
  <c r="G176" i="14" s="1"/>
  <c r="B175" i="14"/>
  <c r="H175" i="14"/>
  <c r="I175" i="14" s="1"/>
  <c r="C175" i="14" s="1"/>
  <c r="J177" i="14" l="1"/>
  <c r="E177" i="14" s="1"/>
  <c r="G177" i="14" s="1"/>
  <c r="B176" i="14"/>
  <c r="H176" i="14"/>
  <c r="I176" i="14" s="1"/>
  <c r="C176" i="14" s="1"/>
  <c r="D348" i="14"/>
  <c r="F347" i="14"/>
  <c r="A347" i="14" s="1"/>
  <c r="D349" i="14" l="1"/>
  <c r="F348" i="14"/>
  <c r="A348" i="14" s="1"/>
  <c r="J178" i="14"/>
  <c r="E178" i="14" s="1"/>
  <c r="G178" i="14" s="1"/>
  <c r="B177" i="14"/>
  <c r="H177" i="14"/>
  <c r="I177" i="14" s="1"/>
  <c r="C177" i="14" s="1"/>
  <c r="J179" i="14" l="1"/>
  <c r="E179" i="14" s="1"/>
  <c r="G179" i="14" s="1"/>
  <c r="B178" i="14"/>
  <c r="H178" i="14"/>
  <c r="I178" i="14" s="1"/>
  <c r="C178" i="14" s="1"/>
  <c r="D350" i="14"/>
  <c r="F349" i="14"/>
  <c r="A349" i="14" s="1"/>
  <c r="D351" i="14" l="1"/>
  <c r="F350" i="14"/>
  <c r="A350" i="14" s="1"/>
  <c r="J180" i="14"/>
  <c r="E180" i="14" s="1"/>
  <c r="G180" i="14" s="1"/>
  <c r="B179" i="14"/>
  <c r="H179" i="14"/>
  <c r="I179" i="14" s="1"/>
  <c r="C179" i="14" s="1"/>
  <c r="J181" i="14" l="1"/>
  <c r="E181" i="14" s="1"/>
  <c r="G181" i="14" s="1"/>
  <c r="B180" i="14"/>
  <c r="H180" i="14"/>
  <c r="I180" i="14" s="1"/>
  <c r="C180" i="14" s="1"/>
  <c r="D352" i="14"/>
  <c r="F351" i="14"/>
  <c r="A351" i="14" s="1"/>
  <c r="D353" i="14" l="1"/>
  <c r="F352" i="14"/>
  <c r="A352" i="14" s="1"/>
  <c r="J182" i="14"/>
  <c r="E182" i="14" s="1"/>
  <c r="G182" i="14" s="1"/>
  <c r="B181" i="14"/>
  <c r="H181" i="14"/>
  <c r="I181" i="14" s="1"/>
  <c r="C181" i="14" s="1"/>
  <c r="J183" i="14" l="1"/>
  <c r="E183" i="14" s="1"/>
  <c r="G183" i="14" s="1"/>
  <c r="B182" i="14"/>
  <c r="H182" i="14"/>
  <c r="I182" i="14" s="1"/>
  <c r="C182" i="14" s="1"/>
  <c r="D354" i="14"/>
  <c r="F353" i="14"/>
  <c r="A353" i="14" s="1"/>
  <c r="J184" i="14" l="1"/>
  <c r="E184" i="14" s="1"/>
  <c r="G184" i="14" s="1"/>
  <c r="B183" i="14"/>
  <c r="H183" i="14"/>
  <c r="I183" i="14" s="1"/>
  <c r="C183" i="14" s="1"/>
  <c r="D355" i="14"/>
  <c r="F354" i="14"/>
  <c r="A354" i="14" s="1"/>
  <c r="J185" i="14" l="1"/>
  <c r="E185" i="14" s="1"/>
  <c r="G185" i="14" s="1"/>
  <c r="B184" i="14"/>
  <c r="H184" i="14"/>
  <c r="I184" i="14" s="1"/>
  <c r="C184" i="14" s="1"/>
  <c r="D356" i="14"/>
  <c r="F355" i="14"/>
  <c r="A355" i="14" s="1"/>
  <c r="D357" i="14" l="1"/>
  <c r="F356" i="14"/>
  <c r="A356" i="14" s="1"/>
  <c r="J186" i="14"/>
  <c r="E186" i="14" s="1"/>
  <c r="G186" i="14" s="1"/>
  <c r="H185" i="14"/>
  <c r="I185" i="14" s="1"/>
  <c r="C185" i="14" s="1"/>
  <c r="B185" i="14"/>
  <c r="J187" i="14" l="1"/>
  <c r="E187" i="14" s="1"/>
  <c r="G187" i="14" s="1"/>
  <c r="H186" i="14"/>
  <c r="I186" i="14" s="1"/>
  <c r="C186" i="14" s="1"/>
  <c r="B186" i="14"/>
  <c r="D358" i="14"/>
  <c r="F357" i="14"/>
  <c r="A357" i="14" s="1"/>
  <c r="D359" i="14" l="1"/>
  <c r="F358" i="14"/>
  <c r="A358" i="14" s="1"/>
  <c r="J188" i="14"/>
  <c r="E188" i="14" s="1"/>
  <c r="G188" i="14" s="1"/>
  <c r="H187" i="14"/>
  <c r="I187" i="14" s="1"/>
  <c r="C187" i="14" s="1"/>
  <c r="B187" i="14"/>
  <c r="J189" i="14" l="1"/>
  <c r="E189" i="14" s="1"/>
  <c r="G189" i="14" s="1"/>
  <c r="H188" i="14"/>
  <c r="I188" i="14" s="1"/>
  <c r="C188" i="14" s="1"/>
  <c r="B188" i="14"/>
  <c r="D360" i="14"/>
  <c r="F359" i="14"/>
  <c r="A359" i="14" s="1"/>
  <c r="D361" i="14" l="1"/>
  <c r="F360" i="14"/>
  <c r="A360" i="14" s="1"/>
  <c r="J190" i="14"/>
  <c r="E190" i="14" s="1"/>
  <c r="G190" i="14" s="1"/>
  <c r="H189" i="14"/>
  <c r="I189" i="14" s="1"/>
  <c r="C189" i="14" s="1"/>
  <c r="B189" i="14"/>
  <c r="J191" i="14" l="1"/>
  <c r="E191" i="14" s="1"/>
  <c r="G191" i="14" s="1"/>
  <c r="H190" i="14"/>
  <c r="I190" i="14" s="1"/>
  <c r="C190" i="14" s="1"/>
  <c r="B190" i="14"/>
  <c r="D362" i="14"/>
  <c r="F361" i="14"/>
  <c r="A361" i="14" s="1"/>
  <c r="J192" i="14" l="1"/>
  <c r="E192" i="14" s="1"/>
  <c r="G192" i="14" s="1"/>
  <c r="H191" i="14"/>
  <c r="I191" i="14" s="1"/>
  <c r="C191" i="14" s="1"/>
  <c r="B191" i="14"/>
  <c r="D363" i="14"/>
  <c r="F362" i="14"/>
  <c r="A362" i="14" s="1"/>
  <c r="D364" i="14" l="1"/>
  <c r="F363" i="14"/>
  <c r="A363" i="14" s="1"/>
  <c r="J193" i="14"/>
  <c r="E193" i="14" s="1"/>
  <c r="G193" i="14" s="1"/>
  <c r="H192" i="14"/>
  <c r="I192" i="14" s="1"/>
  <c r="C192" i="14" s="1"/>
  <c r="B192" i="14"/>
  <c r="J194" i="14" l="1"/>
  <c r="E194" i="14" s="1"/>
  <c r="G194" i="14" s="1"/>
  <c r="H193" i="14"/>
  <c r="I193" i="14" s="1"/>
  <c r="C193" i="14" s="1"/>
  <c r="B193" i="14"/>
  <c r="D365" i="14"/>
  <c r="F364" i="14"/>
  <c r="A364" i="14" s="1"/>
  <c r="D366" i="14" l="1"/>
  <c r="F365" i="14"/>
  <c r="A365" i="14" s="1"/>
  <c r="J195" i="14"/>
  <c r="E195" i="14" s="1"/>
  <c r="G195" i="14" s="1"/>
  <c r="H194" i="14"/>
  <c r="I194" i="14" s="1"/>
  <c r="C194" i="14" s="1"/>
  <c r="B194" i="14"/>
  <c r="J196" i="14" l="1"/>
  <c r="E196" i="14" s="1"/>
  <c r="G196" i="14" s="1"/>
  <c r="H195" i="14"/>
  <c r="I195" i="14" s="1"/>
  <c r="C195" i="14" s="1"/>
  <c r="B195" i="14"/>
  <c r="D367" i="14"/>
  <c r="F366" i="14"/>
  <c r="A366" i="14" s="1"/>
  <c r="D368" i="14" l="1"/>
  <c r="F367" i="14"/>
  <c r="A367" i="14" s="1"/>
  <c r="J197" i="14"/>
  <c r="E197" i="14" s="1"/>
  <c r="G197" i="14" s="1"/>
  <c r="H196" i="14"/>
  <c r="I196" i="14" s="1"/>
  <c r="C196" i="14" s="1"/>
  <c r="B196" i="14"/>
  <c r="J198" i="14" l="1"/>
  <c r="E198" i="14" s="1"/>
  <c r="G198" i="14" s="1"/>
  <c r="H197" i="14"/>
  <c r="I197" i="14" s="1"/>
  <c r="C197" i="14" s="1"/>
  <c r="B197" i="14"/>
  <c r="D369" i="14"/>
  <c r="F368" i="14"/>
  <c r="A368" i="14" s="1"/>
  <c r="D370" i="14" l="1"/>
  <c r="F369" i="14"/>
  <c r="A369" i="14" s="1"/>
  <c r="J199" i="14"/>
  <c r="E199" i="14" s="1"/>
  <c r="G199" i="14" s="1"/>
  <c r="H198" i="14"/>
  <c r="I198" i="14" s="1"/>
  <c r="C198" i="14" s="1"/>
  <c r="B198" i="14"/>
  <c r="J200" i="14" l="1"/>
  <c r="E200" i="14" s="1"/>
  <c r="G200" i="14" s="1"/>
  <c r="H199" i="14"/>
  <c r="I199" i="14" s="1"/>
  <c r="C199" i="14" s="1"/>
  <c r="B199" i="14"/>
  <c r="D371" i="14"/>
  <c r="F370" i="14"/>
  <c r="A370" i="14" s="1"/>
  <c r="J201" i="14" l="1"/>
  <c r="E201" i="14" s="1"/>
  <c r="G201" i="14" s="1"/>
  <c r="H200" i="14"/>
  <c r="I200" i="14" s="1"/>
  <c r="C200" i="14" s="1"/>
  <c r="B200" i="14"/>
  <c r="D372" i="14"/>
  <c r="F371" i="14"/>
  <c r="A371" i="14" s="1"/>
  <c r="D373" i="14" l="1"/>
  <c r="F372" i="14"/>
  <c r="A372" i="14" s="1"/>
  <c r="J202" i="14"/>
  <c r="E202" i="14" s="1"/>
  <c r="G202" i="14" s="1"/>
  <c r="H201" i="14"/>
  <c r="I201" i="14" s="1"/>
  <c r="C201" i="14" s="1"/>
  <c r="B201" i="14"/>
  <c r="F373" i="14" l="1"/>
  <c r="A373" i="14" s="1"/>
  <c r="D374" i="14"/>
  <c r="J203" i="14"/>
  <c r="E203" i="14" s="1"/>
  <c r="G203" i="14" s="1"/>
  <c r="H202" i="14"/>
  <c r="I202" i="14" s="1"/>
  <c r="C202" i="14" s="1"/>
  <c r="B202" i="14"/>
  <c r="J204" i="14" l="1"/>
  <c r="E204" i="14" s="1"/>
  <c r="G204" i="14" s="1"/>
  <c r="H203" i="14"/>
  <c r="I203" i="14" s="1"/>
  <c r="C203" i="14" s="1"/>
  <c r="B203" i="14"/>
  <c r="D375" i="14"/>
  <c r="F374" i="14"/>
  <c r="A374" i="14" s="1"/>
  <c r="J205" i="14" l="1"/>
  <c r="E205" i="14" s="1"/>
  <c r="G205" i="14" s="1"/>
  <c r="H204" i="14"/>
  <c r="I204" i="14" s="1"/>
  <c r="C204" i="14" s="1"/>
  <c r="B204" i="14"/>
  <c r="D376" i="14"/>
  <c r="F375" i="14"/>
  <c r="A375" i="14" s="1"/>
  <c r="D377" i="14" l="1"/>
  <c r="F376" i="14"/>
  <c r="A376" i="14" s="1"/>
  <c r="J206" i="14"/>
  <c r="E206" i="14" s="1"/>
  <c r="G206" i="14" s="1"/>
  <c r="H205" i="14"/>
  <c r="I205" i="14" s="1"/>
  <c r="C205" i="14" s="1"/>
  <c r="B205" i="14"/>
  <c r="J207" i="14" l="1"/>
  <c r="E207" i="14" s="1"/>
  <c r="G207" i="14" s="1"/>
  <c r="H206" i="14"/>
  <c r="I206" i="14" s="1"/>
  <c r="C206" i="14" s="1"/>
  <c r="B206" i="14"/>
  <c r="D378" i="14"/>
  <c r="F377" i="14"/>
  <c r="A377" i="14" s="1"/>
  <c r="D379" i="14" l="1"/>
  <c r="F378" i="14"/>
  <c r="A378" i="14" s="1"/>
  <c r="J208" i="14"/>
  <c r="E208" i="14" s="1"/>
  <c r="G208" i="14" s="1"/>
  <c r="H207" i="14"/>
  <c r="I207" i="14" s="1"/>
  <c r="C207" i="14" s="1"/>
  <c r="B207" i="14"/>
  <c r="J209" i="14" l="1"/>
  <c r="E209" i="14" s="1"/>
  <c r="G209" i="14" s="1"/>
  <c r="H208" i="14"/>
  <c r="I208" i="14" s="1"/>
  <c r="C208" i="14" s="1"/>
  <c r="B208" i="14"/>
  <c r="D380" i="14"/>
  <c r="F379" i="14"/>
  <c r="A379" i="14" s="1"/>
  <c r="D381" i="14" l="1"/>
  <c r="F380" i="14"/>
  <c r="A380" i="14" s="1"/>
  <c r="J210" i="14"/>
  <c r="E210" i="14" s="1"/>
  <c r="G210" i="14" s="1"/>
  <c r="H209" i="14"/>
  <c r="I209" i="14" s="1"/>
  <c r="C209" i="14" s="1"/>
  <c r="B209" i="14"/>
  <c r="J211" i="14" l="1"/>
  <c r="E211" i="14" s="1"/>
  <c r="G211" i="14" s="1"/>
  <c r="H210" i="14"/>
  <c r="I210" i="14" s="1"/>
  <c r="C210" i="14" s="1"/>
  <c r="B210" i="14"/>
  <c r="D382" i="14"/>
  <c r="F381" i="14"/>
  <c r="A381" i="14" s="1"/>
  <c r="D383" i="14" l="1"/>
  <c r="F382" i="14"/>
  <c r="A382" i="14" s="1"/>
  <c r="J212" i="14"/>
  <c r="E212" i="14" s="1"/>
  <c r="G212" i="14" s="1"/>
  <c r="H211" i="14"/>
  <c r="I211" i="14" s="1"/>
  <c r="C211" i="14" s="1"/>
  <c r="B211" i="14"/>
  <c r="J213" i="14" l="1"/>
  <c r="E213" i="14" s="1"/>
  <c r="G213" i="14" s="1"/>
  <c r="H212" i="14"/>
  <c r="I212" i="14" s="1"/>
  <c r="C212" i="14" s="1"/>
  <c r="B212" i="14"/>
  <c r="D384" i="14"/>
  <c r="F383" i="14"/>
  <c r="A383" i="14" s="1"/>
  <c r="D385" i="14" l="1"/>
  <c r="F384" i="14"/>
  <c r="A384" i="14" s="1"/>
  <c r="J214" i="14"/>
  <c r="E214" i="14" s="1"/>
  <c r="G214" i="14" s="1"/>
  <c r="H213" i="14"/>
  <c r="I213" i="14" s="1"/>
  <c r="C213" i="14" s="1"/>
  <c r="B213" i="14"/>
  <c r="J215" i="14" l="1"/>
  <c r="E215" i="14" s="1"/>
  <c r="G215" i="14" s="1"/>
  <c r="H214" i="14"/>
  <c r="I214" i="14" s="1"/>
  <c r="C214" i="14" s="1"/>
  <c r="B214" i="14"/>
  <c r="D386" i="14"/>
  <c r="F385" i="14"/>
  <c r="A385" i="14" s="1"/>
  <c r="D387" i="14" l="1"/>
  <c r="F386" i="14"/>
  <c r="A386" i="14" s="1"/>
  <c r="J216" i="14"/>
  <c r="E216" i="14" s="1"/>
  <c r="G216" i="14" s="1"/>
  <c r="H215" i="14"/>
  <c r="I215" i="14" s="1"/>
  <c r="C215" i="14" s="1"/>
  <c r="B215" i="14"/>
  <c r="J217" i="14" l="1"/>
  <c r="E217" i="14" s="1"/>
  <c r="G217" i="14" s="1"/>
  <c r="H216" i="14"/>
  <c r="I216" i="14" s="1"/>
  <c r="C216" i="14" s="1"/>
  <c r="B216" i="14"/>
  <c r="D388" i="14"/>
  <c r="F387" i="14"/>
  <c r="A387" i="14" s="1"/>
  <c r="D389" i="14" l="1"/>
  <c r="F388" i="14"/>
  <c r="A388" i="14" s="1"/>
  <c r="J218" i="14"/>
  <c r="E218" i="14" s="1"/>
  <c r="G218" i="14" s="1"/>
  <c r="H217" i="14"/>
  <c r="I217" i="14" s="1"/>
  <c r="C217" i="14" s="1"/>
  <c r="B217" i="14"/>
  <c r="J219" i="14" l="1"/>
  <c r="E219" i="14" s="1"/>
  <c r="G219" i="14" s="1"/>
  <c r="H218" i="14"/>
  <c r="I218" i="14" s="1"/>
  <c r="C218" i="14" s="1"/>
  <c r="B218" i="14"/>
  <c r="D390" i="14"/>
  <c r="F389" i="14"/>
  <c r="A389" i="14" s="1"/>
  <c r="D391" i="14" l="1"/>
  <c r="F390" i="14"/>
  <c r="A390" i="14" s="1"/>
  <c r="J220" i="14"/>
  <c r="E220" i="14" s="1"/>
  <c r="G220" i="14" s="1"/>
  <c r="H219" i="14"/>
  <c r="I219" i="14" s="1"/>
  <c r="C219" i="14" s="1"/>
  <c r="B219" i="14"/>
  <c r="J221" i="14" l="1"/>
  <c r="E221" i="14" s="1"/>
  <c r="G221" i="14" s="1"/>
  <c r="H220" i="14"/>
  <c r="I220" i="14" s="1"/>
  <c r="C220" i="14" s="1"/>
  <c r="B220" i="14"/>
  <c r="D392" i="14"/>
  <c r="F391" i="14"/>
  <c r="A391" i="14" s="1"/>
  <c r="D393" i="14" l="1"/>
  <c r="F392" i="14"/>
  <c r="A392" i="14" s="1"/>
  <c r="J222" i="14"/>
  <c r="E222" i="14" s="1"/>
  <c r="G222" i="14" s="1"/>
  <c r="H221" i="14"/>
  <c r="I221" i="14" s="1"/>
  <c r="C221" i="14" s="1"/>
  <c r="B221" i="14"/>
  <c r="J223" i="14" l="1"/>
  <c r="E223" i="14" s="1"/>
  <c r="G223" i="14" s="1"/>
  <c r="H222" i="14"/>
  <c r="I222" i="14" s="1"/>
  <c r="C222" i="14" s="1"/>
  <c r="B222" i="14"/>
  <c r="D394" i="14"/>
  <c r="F393" i="14"/>
  <c r="A393" i="14" s="1"/>
  <c r="D395" i="14" l="1"/>
  <c r="F394" i="14"/>
  <c r="A394" i="14" s="1"/>
  <c r="J224" i="14"/>
  <c r="E224" i="14" s="1"/>
  <c r="G224" i="14" s="1"/>
  <c r="H223" i="14"/>
  <c r="I223" i="14" s="1"/>
  <c r="C223" i="14" s="1"/>
  <c r="B223" i="14"/>
  <c r="J225" i="14" l="1"/>
  <c r="E225" i="14" s="1"/>
  <c r="G225" i="14" s="1"/>
  <c r="H224" i="14"/>
  <c r="I224" i="14" s="1"/>
  <c r="C224" i="14" s="1"/>
  <c r="B224" i="14"/>
  <c r="D396" i="14"/>
  <c r="F395" i="14"/>
  <c r="A395" i="14" s="1"/>
  <c r="D397" i="14" l="1"/>
  <c r="F396" i="14"/>
  <c r="A396" i="14" s="1"/>
  <c r="J226" i="14"/>
  <c r="E226" i="14" s="1"/>
  <c r="G226" i="14" s="1"/>
  <c r="H225" i="14"/>
  <c r="I225" i="14" s="1"/>
  <c r="C225" i="14" s="1"/>
  <c r="B225" i="14"/>
  <c r="J227" i="14" l="1"/>
  <c r="E227" i="14" s="1"/>
  <c r="G227" i="14" s="1"/>
  <c r="H226" i="14"/>
  <c r="I226" i="14" s="1"/>
  <c r="C226" i="14" s="1"/>
  <c r="B226" i="14"/>
  <c r="D398" i="14"/>
  <c r="F397" i="14"/>
  <c r="A397" i="14" s="1"/>
  <c r="J228" i="14" l="1"/>
  <c r="E228" i="14" s="1"/>
  <c r="G228" i="14" s="1"/>
  <c r="H227" i="14"/>
  <c r="I227" i="14" s="1"/>
  <c r="C227" i="14" s="1"/>
  <c r="B227" i="14"/>
  <c r="D399" i="14"/>
  <c r="F398" i="14"/>
  <c r="A398" i="14" s="1"/>
  <c r="D400" i="14" l="1"/>
  <c r="F399" i="14"/>
  <c r="A399" i="14" s="1"/>
  <c r="J229" i="14"/>
  <c r="E229" i="14" s="1"/>
  <c r="G229" i="14" s="1"/>
  <c r="H228" i="14"/>
  <c r="I228" i="14" s="1"/>
  <c r="C228" i="14" s="1"/>
  <c r="B228" i="14"/>
  <c r="J230" i="14" l="1"/>
  <c r="E230" i="14" s="1"/>
  <c r="G230" i="14" s="1"/>
  <c r="H229" i="14"/>
  <c r="I229" i="14" s="1"/>
  <c r="C229" i="14" s="1"/>
  <c r="B229" i="14"/>
  <c r="D401" i="14"/>
  <c r="F400" i="14"/>
  <c r="A400" i="14" s="1"/>
  <c r="D402" i="14" l="1"/>
  <c r="F401" i="14"/>
  <c r="A401" i="14" s="1"/>
  <c r="J231" i="14"/>
  <c r="E231" i="14" s="1"/>
  <c r="G231" i="14" s="1"/>
  <c r="H230" i="14"/>
  <c r="I230" i="14" s="1"/>
  <c r="C230" i="14" s="1"/>
  <c r="B230" i="14"/>
  <c r="J232" i="14" l="1"/>
  <c r="E232" i="14" s="1"/>
  <c r="G232" i="14" s="1"/>
  <c r="H231" i="14"/>
  <c r="I231" i="14" s="1"/>
  <c r="C231" i="14" s="1"/>
  <c r="B231" i="14"/>
  <c r="D403" i="14"/>
  <c r="F402" i="14"/>
  <c r="A402" i="14" s="1"/>
  <c r="D404" i="14" l="1"/>
  <c r="F403" i="14"/>
  <c r="A403" i="14" s="1"/>
  <c r="J233" i="14"/>
  <c r="E233" i="14" s="1"/>
  <c r="G233" i="14" s="1"/>
  <c r="H232" i="14"/>
  <c r="I232" i="14" s="1"/>
  <c r="C232" i="14" s="1"/>
  <c r="B232" i="14"/>
  <c r="J234" i="14" l="1"/>
  <c r="E234" i="14" s="1"/>
  <c r="G234" i="14" s="1"/>
  <c r="H233" i="14"/>
  <c r="I233" i="14" s="1"/>
  <c r="C233" i="14" s="1"/>
  <c r="B233" i="14"/>
  <c r="D405" i="14"/>
  <c r="F404" i="14"/>
  <c r="A404" i="14" s="1"/>
  <c r="D406" i="14" l="1"/>
  <c r="F405" i="14"/>
  <c r="A405" i="14" s="1"/>
  <c r="J235" i="14"/>
  <c r="E235" i="14" s="1"/>
  <c r="G235" i="14" s="1"/>
  <c r="H234" i="14"/>
  <c r="I234" i="14" s="1"/>
  <c r="C234" i="14" s="1"/>
  <c r="B234" i="14"/>
  <c r="J236" i="14" l="1"/>
  <c r="E236" i="14" s="1"/>
  <c r="G236" i="14" s="1"/>
  <c r="H235" i="14"/>
  <c r="I235" i="14" s="1"/>
  <c r="C235" i="14" s="1"/>
  <c r="B235" i="14"/>
  <c r="D407" i="14"/>
  <c r="F406" i="14"/>
  <c r="A406" i="14" s="1"/>
  <c r="D408" i="14" l="1"/>
  <c r="F407" i="14"/>
  <c r="A407" i="14" s="1"/>
  <c r="J237" i="14"/>
  <c r="E237" i="14" s="1"/>
  <c r="G237" i="14" s="1"/>
  <c r="H236" i="14"/>
  <c r="I236" i="14" s="1"/>
  <c r="C236" i="14" s="1"/>
  <c r="B236" i="14"/>
  <c r="J238" i="14" l="1"/>
  <c r="E238" i="14" s="1"/>
  <c r="G238" i="14" s="1"/>
  <c r="H237" i="14"/>
  <c r="I237" i="14" s="1"/>
  <c r="C237" i="14" s="1"/>
  <c r="B237" i="14"/>
  <c r="D409" i="14"/>
  <c r="F408" i="14"/>
  <c r="A408" i="14" s="1"/>
  <c r="F409" i="14" l="1"/>
  <c r="A409" i="14" s="1"/>
  <c r="D410" i="14"/>
  <c r="J239" i="14"/>
  <c r="E239" i="14" s="1"/>
  <c r="G239" i="14" s="1"/>
  <c r="H238" i="14"/>
  <c r="I238" i="14" s="1"/>
  <c r="C238" i="14" s="1"/>
  <c r="B238" i="14"/>
  <c r="J240" i="14" l="1"/>
  <c r="E240" i="14" s="1"/>
  <c r="G240" i="14" s="1"/>
  <c r="H239" i="14"/>
  <c r="I239" i="14" s="1"/>
  <c r="C239" i="14" s="1"/>
  <c r="B239" i="14"/>
  <c r="D411" i="14"/>
  <c r="F410" i="14"/>
  <c r="A410" i="14" s="1"/>
  <c r="D412" i="14" l="1"/>
  <c r="F411" i="14"/>
  <c r="A411" i="14" s="1"/>
  <c r="J241" i="14"/>
  <c r="E241" i="14" s="1"/>
  <c r="G241" i="14" s="1"/>
  <c r="H240" i="14"/>
  <c r="I240" i="14" s="1"/>
  <c r="C240" i="14" s="1"/>
  <c r="B240" i="14"/>
  <c r="J242" i="14" l="1"/>
  <c r="E242" i="14" s="1"/>
  <c r="G242" i="14" s="1"/>
  <c r="H241" i="14"/>
  <c r="I241" i="14" s="1"/>
  <c r="C241" i="14" s="1"/>
  <c r="B241" i="14"/>
  <c r="D413" i="14"/>
  <c r="F412" i="14"/>
  <c r="A412" i="14" s="1"/>
  <c r="D414" i="14" l="1"/>
  <c r="F413" i="14"/>
  <c r="A413" i="14" s="1"/>
  <c r="J243" i="14"/>
  <c r="E243" i="14" s="1"/>
  <c r="G243" i="14" s="1"/>
  <c r="H242" i="14"/>
  <c r="I242" i="14" s="1"/>
  <c r="C242" i="14" s="1"/>
  <c r="B242" i="14"/>
  <c r="J244" i="14" l="1"/>
  <c r="E244" i="14" s="1"/>
  <c r="G244" i="14" s="1"/>
  <c r="H243" i="14"/>
  <c r="I243" i="14" s="1"/>
  <c r="C243" i="14" s="1"/>
  <c r="B243" i="14"/>
  <c r="D415" i="14"/>
  <c r="F414" i="14"/>
  <c r="A414" i="14" s="1"/>
  <c r="F415" i="14" l="1"/>
  <c r="A415" i="14" s="1"/>
  <c r="D416" i="14"/>
  <c r="J245" i="14"/>
  <c r="E245" i="14" s="1"/>
  <c r="G245" i="14" s="1"/>
  <c r="H244" i="14"/>
  <c r="I244" i="14" s="1"/>
  <c r="C244" i="14" s="1"/>
  <c r="B244" i="14"/>
  <c r="J246" i="14" l="1"/>
  <c r="E246" i="14" s="1"/>
  <c r="G246" i="14" s="1"/>
  <c r="H245" i="14"/>
  <c r="I245" i="14" s="1"/>
  <c r="C245" i="14" s="1"/>
  <c r="B245" i="14"/>
  <c r="D417" i="14"/>
  <c r="F416" i="14"/>
  <c r="A416" i="14" s="1"/>
  <c r="D418" i="14" l="1"/>
  <c r="F417" i="14"/>
  <c r="A417" i="14" s="1"/>
  <c r="J247" i="14"/>
  <c r="E247" i="14" s="1"/>
  <c r="G247" i="14" s="1"/>
  <c r="H246" i="14"/>
  <c r="I246" i="14" s="1"/>
  <c r="C246" i="14" s="1"/>
  <c r="B246" i="14"/>
  <c r="J248" i="14" l="1"/>
  <c r="E248" i="14" s="1"/>
  <c r="G248" i="14" s="1"/>
  <c r="H247" i="14"/>
  <c r="I247" i="14" s="1"/>
  <c r="C247" i="14" s="1"/>
  <c r="B247" i="14"/>
  <c r="D419" i="14"/>
  <c r="F418" i="14"/>
  <c r="A418" i="14" s="1"/>
  <c r="D420" i="14" l="1"/>
  <c r="F419" i="14"/>
  <c r="A419" i="14" s="1"/>
  <c r="J249" i="14"/>
  <c r="E249" i="14" s="1"/>
  <c r="G249" i="14" s="1"/>
  <c r="H248" i="14"/>
  <c r="I248" i="14" s="1"/>
  <c r="C248" i="14" s="1"/>
  <c r="B248" i="14"/>
  <c r="J250" i="14" l="1"/>
  <c r="E250" i="14" s="1"/>
  <c r="G250" i="14" s="1"/>
  <c r="H249" i="14"/>
  <c r="I249" i="14" s="1"/>
  <c r="C249" i="14" s="1"/>
  <c r="B249" i="14"/>
  <c r="D421" i="14"/>
  <c r="F420" i="14"/>
  <c r="A420" i="14" s="1"/>
  <c r="D422" i="14" l="1"/>
  <c r="F421" i="14"/>
  <c r="A421" i="14" s="1"/>
  <c r="J251" i="14"/>
  <c r="E251" i="14" s="1"/>
  <c r="G251" i="14" s="1"/>
  <c r="H250" i="14"/>
  <c r="I250" i="14" s="1"/>
  <c r="C250" i="14" s="1"/>
  <c r="B250" i="14"/>
  <c r="J252" i="14" l="1"/>
  <c r="E252" i="14" s="1"/>
  <c r="G252" i="14" s="1"/>
  <c r="H251" i="14"/>
  <c r="I251" i="14" s="1"/>
  <c r="C251" i="14" s="1"/>
  <c r="B251" i="14"/>
  <c r="D423" i="14"/>
  <c r="F422" i="14"/>
  <c r="A422" i="14" s="1"/>
  <c r="D424" i="14" l="1"/>
  <c r="F423" i="14"/>
  <c r="A423" i="14" s="1"/>
  <c r="J253" i="14"/>
  <c r="E253" i="14" s="1"/>
  <c r="G253" i="14" s="1"/>
  <c r="H252" i="14"/>
  <c r="I252" i="14" s="1"/>
  <c r="C252" i="14" s="1"/>
  <c r="B252" i="14"/>
  <c r="J254" i="14" l="1"/>
  <c r="E254" i="14" s="1"/>
  <c r="G254" i="14" s="1"/>
  <c r="H253" i="14"/>
  <c r="I253" i="14" s="1"/>
  <c r="C253" i="14" s="1"/>
  <c r="B253" i="14"/>
  <c r="D425" i="14"/>
  <c r="F424" i="14"/>
  <c r="A424" i="14" s="1"/>
  <c r="D426" i="14" l="1"/>
  <c r="F425" i="14"/>
  <c r="A425" i="14" s="1"/>
  <c r="J255" i="14"/>
  <c r="E255" i="14" s="1"/>
  <c r="G255" i="14" s="1"/>
  <c r="H254" i="14"/>
  <c r="I254" i="14" s="1"/>
  <c r="C254" i="14" s="1"/>
  <c r="B254" i="14"/>
  <c r="D427" i="14" l="1"/>
  <c r="F426" i="14"/>
  <c r="A426" i="14" s="1"/>
  <c r="J256" i="14"/>
  <c r="E256" i="14" s="1"/>
  <c r="G256" i="14" s="1"/>
  <c r="H255" i="14"/>
  <c r="I255" i="14" s="1"/>
  <c r="C255" i="14" s="1"/>
  <c r="B255" i="14"/>
  <c r="J257" i="14" l="1"/>
  <c r="E257" i="14" s="1"/>
  <c r="G257" i="14" s="1"/>
  <c r="H256" i="14"/>
  <c r="I256" i="14" s="1"/>
  <c r="C256" i="14" s="1"/>
  <c r="B256" i="14"/>
  <c r="D428" i="14"/>
  <c r="F427" i="14"/>
  <c r="A427" i="14" s="1"/>
  <c r="D429" i="14" l="1"/>
  <c r="F428" i="14"/>
  <c r="A428" i="14" s="1"/>
  <c r="J258" i="14"/>
  <c r="E258" i="14" s="1"/>
  <c r="G258" i="14" s="1"/>
  <c r="H257" i="14"/>
  <c r="I257" i="14" s="1"/>
  <c r="C257" i="14" s="1"/>
  <c r="B257" i="14"/>
  <c r="J259" i="14" l="1"/>
  <c r="E259" i="14" s="1"/>
  <c r="G259" i="14" s="1"/>
  <c r="H258" i="14"/>
  <c r="I258" i="14" s="1"/>
  <c r="C258" i="14" s="1"/>
  <c r="B258" i="14"/>
  <c r="D430" i="14"/>
  <c r="F429" i="14"/>
  <c r="A429" i="14" s="1"/>
  <c r="D431" i="14" l="1"/>
  <c r="F430" i="14"/>
  <c r="A430" i="14" s="1"/>
  <c r="J260" i="14"/>
  <c r="E260" i="14" s="1"/>
  <c r="G260" i="14" s="1"/>
  <c r="H259" i="14"/>
  <c r="I259" i="14" s="1"/>
  <c r="C259" i="14" s="1"/>
  <c r="B259" i="14"/>
  <c r="J261" i="14" l="1"/>
  <c r="E261" i="14" s="1"/>
  <c r="G261" i="14" s="1"/>
  <c r="H260" i="14"/>
  <c r="I260" i="14" s="1"/>
  <c r="C260" i="14" s="1"/>
  <c r="B260" i="14"/>
  <c r="D432" i="14"/>
  <c r="F431" i="14"/>
  <c r="A431" i="14" s="1"/>
  <c r="D433" i="14" l="1"/>
  <c r="F432" i="14"/>
  <c r="A432" i="14" s="1"/>
  <c r="J262" i="14"/>
  <c r="E262" i="14" s="1"/>
  <c r="G262" i="14" s="1"/>
  <c r="H261" i="14"/>
  <c r="I261" i="14" s="1"/>
  <c r="C261" i="14" s="1"/>
  <c r="B261" i="14"/>
  <c r="J263" i="14" l="1"/>
  <c r="E263" i="14" s="1"/>
  <c r="G263" i="14" s="1"/>
  <c r="H262" i="14"/>
  <c r="I262" i="14" s="1"/>
  <c r="C262" i="14" s="1"/>
  <c r="B262" i="14"/>
  <c r="D434" i="14"/>
  <c r="F433" i="14"/>
  <c r="A433" i="14" s="1"/>
  <c r="J264" i="14" l="1"/>
  <c r="E264" i="14" s="1"/>
  <c r="G264" i="14" s="1"/>
  <c r="H263" i="14"/>
  <c r="I263" i="14" s="1"/>
  <c r="C263" i="14" s="1"/>
  <c r="B263" i="14"/>
  <c r="D435" i="14"/>
  <c r="F434" i="14"/>
  <c r="A434" i="14" s="1"/>
  <c r="D436" i="14" l="1"/>
  <c r="F435" i="14"/>
  <c r="A435" i="14" s="1"/>
  <c r="J265" i="14"/>
  <c r="E265" i="14" s="1"/>
  <c r="G265" i="14" s="1"/>
  <c r="H264" i="14"/>
  <c r="I264" i="14" s="1"/>
  <c r="C264" i="14" s="1"/>
  <c r="B264" i="14"/>
  <c r="J266" i="14" l="1"/>
  <c r="E266" i="14" s="1"/>
  <c r="G266" i="14" s="1"/>
  <c r="H265" i="14"/>
  <c r="I265" i="14" s="1"/>
  <c r="C265" i="14" s="1"/>
  <c r="B265" i="14"/>
  <c r="D437" i="14"/>
  <c r="F436" i="14"/>
  <c r="A436" i="14" s="1"/>
  <c r="D438" i="14" l="1"/>
  <c r="F437" i="14"/>
  <c r="A437" i="14" s="1"/>
  <c r="J267" i="14"/>
  <c r="E267" i="14" s="1"/>
  <c r="G267" i="14" s="1"/>
  <c r="H266" i="14"/>
  <c r="I266" i="14" s="1"/>
  <c r="C266" i="14" s="1"/>
  <c r="B266" i="14"/>
  <c r="J268" i="14" l="1"/>
  <c r="E268" i="14" s="1"/>
  <c r="G268" i="14" s="1"/>
  <c r="H267" i="14"/>
  <c r="I267" i="14" s="1"/>
  <c r="C267" i="14" s="1"/>
  <c r="B267" i="14"/>
  <c r="D439" i="14"/>
  <c r="F438" i="14"/>
  <c r="A438" i="14" s="1"/>
  <c r="D440" i="14" l="1"/>
  <c r="F439" i="14"/>
  <c r="A439" i="14" s="1"/>
  <c r="J269" i="14"/>
  <c r="E269" i="14" s="1"/>
  <c r="G269" i="14" s="1"/>
  <c r="H268" i="14"/>
  <c r="I268" i="14" s="1"/>
  <c r="C268" i="14" s="1"/>
  <c r="B268" i="14"/>
  <c r="J270" i="14" l="1"/>
  <c r="E270" i="14" s="1"/>
  <c r="G270" i="14" s="1"/>
  <c r="H269" i="14"/>
  <c r="I269" i="14" s="1"/>
  <c r="C269" i="14" s="1"/>
  <c r="B269" i="14"/>
  <c r="D441" i="14"/>
  <c r="F440" i="14"/>
  <c r="A440" i="14" s="1"/>
  <c r="D442" i="14" l="1"/>
  <c r="F441" i="14"/>
  <c r="A441" i="14" s="1"/>
  <c r="J271" i="14"/>
  <c r="E271" i="14" s="1"/>
  <c r="G271" i="14" s="1"/>
  <c r="H270" i="14"/>
  <c r="I270" i="14" s="1"/>
  <c r="C270" i="14" s="1"/>
  <c r="B270" i="14"/>
  <c r="J272" i="14" l="1"/>
  <c r="E272" i="14" s="1"/>
  <c r="G272" i="14" s="1"/>
  <c r="H271" i="14"/>
  <c r="I271" i="14" s="1"/>
  <c r="C271" i="14" s="1"/>
  <c r="B271" i="14"/>
  <c r="D443" i="14"/>
  <c r="F442" i="14"/>
  <c r="A442" i="14" s="1"/>
  <c r="D444" i="14" l="1"/>
  <c r="F443" i="14"/>
  <c r="A443" i="14" s="1"/>
  <c r="J273" i="14"/>
  <c r="E273" i="14" s="1"/>
  <c r="G273" i="14" s="1"/>
  <c r="H272" i="14"/>
  <c r="I272" i="14" s="1"/>
  <c r="C272" i="14" s="1"/>
  <c r="B272" i="14"/>
  <c r="D445" i="14" l="1"/>
  <c r="F444" i="14"/>
  <c r="A444" i="14" s="1"/>
  <c r="J274" i="14"/>
  <c r="E274" i="14" s="1"/>
  <c r="G274" i="14" s="1"/>
  <c r="H273" i="14"/>
  <c r="I273" i="14" s="1"/>
  <c r="C273" i="14" s="1"/>
  <c r="B273" i="14"/>
  <c r="J275" i="14" l="1"/>
  <c r="E275" i="14" s="1"/>
  <c r="G275" i="14" s="1"/>
  <c r="H274" i="14"/>
  <c r="I274" i="14" s="1"/>
  <c r="C274" i="14" s="1"/>
  <c r="B274" i="14"/>
  <c r="D446" i="14"/>
  <c r="F445" i="14"/>
  <c r="A445" i="14" s="1"/>
  <c r="D447" i="14" l="1"/>
  <c r="F446" i="14"/>
  <c r="A446" i="14" s="1"/>
  <c r="J276" i="14"/>
  <c r="E276" i="14" s="1"/>
  <c r="G276" i="14" s="1"/>
  <c r="H275" i="14"/>
  <c r="I275" i="14" s="1"/>
  <c r="C275" i="14" s="1"/>
  <c r="B275" i="14"/>
  <c r="J277" i="14" l="1"/>
  <c r="E277" i="14" s="1"/>
  <c r="G277" i="14" s="1"/>
  <c r="H276" i="14"/>
  <c r="I276" i="14" s="1"/>
  <c r="C276" i="14" s="1"/>
  <c r="B276" i="14"/>
  <c r="D448" i="14"/>
  <c r="F447" i="14"/>
  <c r="A447" i="14" s="1"/>
  <c r="D449" i="14" l="1"/>
  <c r="F448" i="14"/>
  <c r="A448" i="14" s="1"/>
  <c r="J278" i="14"/>
  <c r="E278" i="14" s="1"/>
  <c r="G278" i="14" s="1"/>
  <c r="H277" i="14"/>
  <c r="I277" i="14" s="1"/>
  <c r="C277" i="14" s="1"/>
  <c r="B277" i="14"/>
  <c r="J279" i="14" l="1"/>
  <c r="E279" i="14" s="1"/>
  <c r="G279" i="14" s="1"/>
  <c r="H278" i="14"/>
  <c r="I278" i="14" s="1"/>
  <c r="C278" i="14" s="1"/>
  <c r="B278" i="14"/>
  <c r="D450" i="14"/>
  <c r="F449" i="14"/>
  <c r="A449" i="14" s="1"/>
  <c r="D451" i="14" l="1"/>
  <c r="F450" i="14"/>
  <c r="A450" i="14" s="1"/>
  <c r="J280" i="14"/>
  <c r="E280" i="14" s="1"/>
  <c r="G280" i="14" s="1"/>
  <c r="H279" i="14"/>
  <c r="I279" i="14" s="1"/>
  <c r="C279" i="14" s="1"/>
  <c r="B279" i="14"/>
  <c r="J281" i="14" l="1"/>
  <c r="E281" i="14" s="1"/>
  <c r="G281" i="14" s="1"/>
  <c r="H280" i="14"/>
  <c r="I280" i="14" s="1"/>
  <c r="C280" i="14" s="1"/>
  <c r="B280" i="14"/>
  <c r="D452" i="14"/>
  <c r="F451" i="14"/>
  <c r="A451" i="14" s="1"/>
  <c r="D453" i="14" l="1"/>
  <c r="F452" i="14"/>
  <c r="A452" i="14" s="1"/>
  <c r="J282" i="14"/>
  <c r="E282" i="14" s="1"/>
  <c r="G282" i="14" s="1"/>
  <c r="H281" i="14"/>
  <c r="I281" i="14" s="1"/>
  <c r="C281" i="14" s="1"/>
  <c r="B281" i="14"/>
  <c r="D454" i="14" l="1"/>
  <c r="F453" i="14"/>
  <c r="A453" i="14" s="1"/>
  <c r="J283" i="14"/>
  <c r="E283" i="14" s="1"/>
  <c r="G283" i="14" s="1"/>
  <c r="H282" i="14"/>
  <c r="I282" i="14" s="1"/>
  <c r="C282" i="14" s="1"/>
  <c r="B282" i="14"/>
  <c r="J284" i="14" l="1"/>
  <c r="E284" i="14" s="1"/>
  <c r="G284" i="14" s="1"/>
  <c r="H283" i="14"/>
  <c r="I283" i="14" s="1"/>
  <c r="C283" i="14" s="1"/>
  <c r="B283" i="14"/>
  <c r="D455" i="14"/>
  <c r="F454" i="14"/>
  <c r="A454" i="14" s="1"/>
  <c r="D456" i="14" l="1"/>
  <c r="F455" i="14"/>
  <c r="A455" i="14" s="1"/>
  <c r="J285" i="14"/>
  <c r="E285" i="14" s="1"/>
  <c r="G285" i="14" s="1"/>
  <c r="H284" i="14"/>
  <c r="I284" i="14" s="1"/>
  <c r="C284" i="14" s="1"/>
  <c r="B284" i="14"/>
  <c r="J286" i="14" l="1"/>
  <c r="E286" i="14" s="1"/>
  <c r="G286" i="14" s="1"/>
  <c r="H285" i="14"/>
  <c r="I285" i="14" s="1"/>
  <c r="C285" i="14" s="1"/>
  <c r="B285" i="14"/>
  <c r="D457" i="14"/>
  <c r="F456" i="14"/>
  <c r="A456" i="14" s="1"/>
  <c r="D458" i="14" l="1"/>
  <c r="F457" i="14"/>
  <c r="A457" i="14" s="1"/>
  <c r="J287" i="14"/>
  <c r="E287" i="14" s="1"/>
  <c r="G287" i="14" s="1"/>
  <c r="H286" i="14"/>
  <c r="I286" i="14" s="1"/>
  <c r="C286" i="14" s="1"/>
  <c r="B286" i="14"/>
  <c r="J288" i="14" l="1"/>
  <c r="E288" i="14" s="1"/>
  <c r="G288" i="14" s="1"/>
  <c r="H287" i="14"/>
  <c r="I287" i="14" s="1"/>
  <c r="C287" i="14" s="1"/>
  <c r="B287" i="14"/>
  <c r="D459" i="14"/>
  <c r="F458" i="14"/>
  <c r="A458" i="14" s="1"/>
  <c r="D460" i="14" l="1"/>
  <c r="F459" i="14"/>
  <c r="A459" i="14" s="1"/>
  <c r="J289" i="14"/>
  <c r="E289" i="14" s="1"/>
  <c r="G289" i="14" s="1"/>
  <c r="H288" i="14"/>
  <c r="I288" i="14" s="1"/>
  <c r="C288" i="14" s="1"/>
  <c r="B288" i="14"/>
  <c r="J290" i="14" l="1"/>
  <c r="E290" i="14" s="1"/>
  <c r="G290" i="14" s="1"/>
  <c r="H289" i="14"/>
  <c r="I289" i="14" s="1"/>
  <c r="C289" i="14" s="1"/>
  <c r="B289" i="14"/>
  <c r="D461" i="14"/>
  <c r="F460" i="14"/>
  <c r="A460" i="14" s="1"/>
  <c r="D462" i="14" l="1"/>
  <c r="F461" i="14"/>
  <c r="A461" i="14" s="1"/>
  <c r="J291" i="14"/>
  <c r="E291" i="14" s="1"/>
  <c r="G291" i="14" s="1"/>
  <c r="H290" i="14"/>
  <c r="I290" i="14" s="1"/>
  <c r="C290" i="14" s="1"/>
  <c r="B290" i="14"/>
  <c r="J292" i="14" l="1"/>
  <c r="E292" i="14" s="1"/>
  <c r="G292" i="14" s="1"/>
  <c r="H291" i="14"/>
  <c r="I291" i="14" s="1"/>
  <c r="C291" i="14" s="1"/>
  <c r="B291" i="14"/>
  <c r="D463" i="14"/>
  <c r="F462" i="14"/>
  <c r="A462" i="14" s="1"/>
  <c r="D464" i="14" l="1"/>
  <c r="F463" i="14"/>
  <c r="A463" i="14" s="1"/>
  <c r="J293" i="14"/>
  <c r="E293" i="14" s="1"/>
  <c r="G293" i="14" s="1"/>
  <c r="H292" i="14"/>
  <c r="I292" i="14" s="1"/>
  <c r="C292" i="14" s="1"/>
  <c r="B292" i="14"/>
  <c r="J294" i="14" l="1"/>
  <c r="E294" i="14" s="1"/>
  <c r="G294" i="14" s="1"/>
  <c r="H293" i="14"/>
  <c r="I293" i="14" s="1"/>
  <c r="C293" i="14" s="1"/>
  <c r="B293" i="14"/>
  <c r="D465" i="14"/>
  <c r="F464" i="14"/>
  <c r="A464" i="14" s="1"/>
  <c r="D466" i="14" l="1"/>
  <c r="F465" i="14"/>
  <c r="A465" i="14" s="1"/>
  <c r="J295" i="14"/>
  <c r="E295" i="14" s="1"/>
  <c r="G295" i="14" s="1"/>
  <c r="H294" i="14"/>
  <c r="I294" i="14" s="1"/>
  <c r="C294" i="14" s="1"/>
  <c r="B294" i="14"/>
  <c r="J296" i="14" l="1"/>
  <c r="E296" i="14" s="1"/>
  <c r="G296" i="14" s="1"/>
  <c r="H295" i="14"/>
  <c r="I295" i="14" s="1"/>
  <c r="C295" i="14" s="1"/>
  <c r="B295" i="14"/>
  <c r="D467" i="14"/>
  <c r="F466" i="14"/>
  <c r="A466" i="14" s="1"/>
  <c r="D468" i="14" l="1"/>
  <c r="F467" i="14"/>
  <c r="A467" i="14" s="1"/>
  <c r="J297" i="14"/>
  <c r="E297" i="14" s="1"/>
  <c r="G297" i="14" s="1"/>
  <c r="H296" i="14"/>
  <c r="I296" i="14" s="1"/>
  <c r="C296" i="14" s="1"/>
  <c r="B296" i="14"/>
  <c r="D469" i="14" l="1"/>
  <c r="F468" i="14"/>
  <c r="A468" i="14" s="1"/>
  <c r="J298" i="14"/>
  <c r="E298" i="14" s="1"/>
  <c r="G298" i="14" s="1"/>
  <c r="H297" i="14"/>
  <c r="I297" i="14" s="1"/>
  <c r="C297" i="14" s="1"/>
  <c r="B297" i="14"/>
  <c r="J299" i="14" l="1"/>
  <c r="E299" i="14" s="1"/>
  <c r="G299" i="14" s="1"/>
  <c r="H298" i="14"/>
  <c r="I298" i="14" s="1"/>
  <c r="C298" i="14" s="1"/>
  <c r="B298" i="14"/>
  <c r="D470" i="14"/>
  <c r="F469" i="14"/>
  <c r="A469" i="14" s="1"/>
  <c r="D471" i="14" l="1"/>
  <c r="F470" i="14"/>
  <c r="A470" i="14" s="1"/>
  <c r="J300" i="14"/>
  <c r="E300" i="14" s="1"/>
  <c r="G300" i="14" s="1"/>
  <c r="H299" i="14"/>
  <c r="I299" i="14" s="1"/>
  <c r="C299" i="14" s="1"/>
  <c r="B299" i="14"/>
  <c r="J301" i="14" l="1"/>
  <c r="E301" i="14" s="1"/>
  <c r="G301" i="14" s="1"/>
  <c r="H300" i="14"/>
  <c r="I300" i="14" s="1"/>
  <c r="C300" i="14" s="1"/>
  <c r="B300" i="14"/>
  <c r="D472" i="14"/>
  <c r="F471" i="14"/>
  <c r="A471" i="14" s="1"/>
  <c r="D473" i="14" l="1"/>
  <c r="F472" i="14"/>
  <c r="A472" i="14" s="1"/>
  <c r="J302" i="14"/>
  <c r="E302" i="14" s="1"/>
  <c r="G302" i="14" s="1"/>
  <c r="H301" i="14"/>
  <c r="I301" i="14" s="1"/>
  <c r="C301" i="14" s="1"/>
  <c r="B301" i="14"/>
  <c r="J303" i="14" l="1"/>
  <c r="E303" i="14" s="1"/>
  <c r="G303" i="14" s="1"/>
  <c r="H302" i="14"/>
  <c r="I302" i="14" s="1"/>
  <c r="C302" i="14" s="1"/>
  <c r="B302" i="14"/>
  <c r="D474" i="14"/>
  <c r="F473" i="14"/>
  <c r="A473" i="14" s="1"/>
  <c r="J304" i="14" l="1"/>
  <c r="E304" i="14" s="1"/>
  <c r="G304" i="14" s="1"/>
  <c r="H303" i="14"/>
  <c r="I303" i="14" s="1"/>
  <c r="C303" i="14" s="1"/>
  <c r="B303" i="14"/>
  <c r="D475" i="14"/>
  <c r="F474" i="14"/>
  <c r="A474" i="14" s="1"/>
  <c r="D476" i="14" l="1"/>
  <c r="F475" i="14"/>
  <c r="A475" i="14" s="1"/>
  <c r="J305" i="14"/>
  <c r="E305" i="14" s="1"/>
  <c r="G305" i="14" s="1"/>
  <c r="H304" i="14"/>
  <c r="I304" i="14" s="1"/>
  <c r="C304" i="14" s="1"/>
  <c r="B304" i="14"/>
  <c r="J306" i="14" l="1"/>
  <c r="E306" i="14" s="1"/>
  <c r="G306" i="14" s="1"/>
  <c r="H305" i="14"/>
  <c r="I305" i="14" s="1"/>
  <c r="C305" i="14" s="1"/>
  <c r="B305" i="14"/>
  <c r="D477" i="14"/>
  <c r="F476" i="14"/>
  <c r="A476" i="14" s="1"/>
  <c r="D478" i="14" l="1"/>
  <c r="F477" i="14"/>
  <c r="A477" i="14" s="1"/>
  <c r="J307" i="14"/>
  <c r="E307" i="14" s="1"/>
  <c r="G307" i="14" s="1"/>
  <c r="H306" i="14"/>
  <c r="I306" i="14" s="1"/>
  <c r="C306" i="14" s="1"/>
  <c r="B306" i="14"/>
  <c r="J308" i="14" l="1"/>
  <c r="E308" i="14" s="1"/>
  <c r="G308" i="14" s="1"/>
  <c r="H307" i="14"/>
  <c r="I307" i="14" s="1"/>
  <c r="C307" i="14" s="1"/>
  <c r="B307" i="14"/>
  <c r="F478" i="14"/>
  <c r="A478" i="14" s="1"/>
  <c r="D479" i="14"/>
  <c r="D480" i="14" l="1"/>
  <c r="F479" i="14"/>
  <c r="A479" i="14" s="1"/>
  <c r="J309" i="14"/>
  <c r="E309" i="14" s="1"/>
  <c r="G309" i="14" s="1"/>
  <c r="H308" i="14"/>
  <c r="I308" i="14" s="1"/>
  <c r="C308" i="14" s="1"/>
  <c r="B308" i="14"/>
  <c r="J310" i="14" l="1"/>
  <c r="E310" i="14" s="1"/>
  <c r="G310" i="14" s="1"/>
  <c r="H309" i="14"/>
  <c r="I309" i="14" s="1"/>
  <c r="C309" i="14" s="1"/>
  <c r="B309" i="14"/>
  <c r="D481" i="14"/>
  <c r="F480" i="14"/>
  <c r="A480" i="14" s="1"/>
  <c r="D482" i="14" l="1"/>
  <c r="F481" i="14"/>
  <c r="A481" i="14" s="1"/>
  <c r="J311" i="14"/>
  <c r="E311" i="14" s="1"/>
  <c r="G311" i="14" s="1"/>
  <c r="H310" i="14"/>
  <c r="I310" i="14" s="1"/>
  <c r="C310" i="14" s="1"/>
  <c r="B310" i="14"/>
  <c r="J312" i="14" l="1"/>
  <c r="E312" i="14" s="1"/>
  <c r="G312" i="14" s="1"/>
  <c r="H311" i="14"/>
  <c r="I311" i="14" s="1"/>
  <c r="C311" i="14" s="1"/>
  <c r="B311" i="14"/>
  <c r="D483" i="14"/>
  <c r="F482" i="14"/>
  <c r="A482" i="14" s="1"/>
  <c r="D484" i="14" l="1"/>
  <c r="F483" i="14"/>
  <c r="A483" i="14" s="1"/>
  <c r="J313" i="14"/>
  <c r="E313" i="14" s="1"/>
  <c r="G313" i="14" s="1"/>
  <c r="H312" i="14"/>
  <c r="I312" i="14" s="1"/>
  <c r="C312" i="14" s="1"/>
  <c r="B312" i="14"/>
  <c r="J314" i="14" l="1"/>
  <c r="E314" i="14" s="1"/>
  <c r="G314" i="14" s="1"/>
  <c r="H313" i="14"/>
  <c r="I313" i="14" s="1"/>
  <c r="C313" i="14" s="1"/>
  <c r="B313" i="14"/>
  <c r="D485" i="14"/>
  <c r="F484" i="14"/>
  <c r="A484" i="14" s="1"/>
  <c r="D486" i="14" l="1"/>
  <c r="F485" i="14"/>
  <c r="A485" i="14" s="1"/>
  <c r="J315" i="14"/>
  <c r="E315" i="14" s="1"/>
  <c r="G315" i="14" s="1"/>
  <c r="H314" i="14"/>
  <c r="I314" i="14" s="1"/>
  <c r="C314" i="14" s="1"/>
  <c r="B314" i="14"/>
  <c r="J316" i="14" l="1"/>
  <c r="E316" i="14" s="1"/>
  <c r="G316" i="14" s="1"/>
  <c r="H315" i="14"/>
  <c r="I315" i="14" s="1"/>
  <c r="C315" i="14" s="1"/>
  <c r="B315" i="14"/>
  <c r="D487" i="14"/>
  <c r="F486" i="14"/>
  <c r="A486" i="14" s="1"/>
  <c r="D488" i="14" l="1"/>
  <c r="F487" i="14"/>
  <c r="A487" i="14" s="1"/>
  <c r="J317" i="14"/>
  <c r="E317" i="14" s="1"/>
  <c r="G317" i="14" s="1"/>
  <c r="H316" i="14"/>
  <c r="I316" i="14" s="1"/>
  <c r="C316" i="14" s="1"/>
  <c r="B316" i="14"/>
  <c r="J318" i="14" l="1"/>
  <c r="E318" i="14" s="1"/>
  <c r="G318" i="14" s="1"/>
  <c r="H317" i="14"/>
  <c r="I317" i="14" s="1"/>
  <c r="C317" i="14" s="1"/>
  <c r="B317" i="14"/>
  <c r="D489" i="14"/>
  <c r="F488" i="14"/>
  <c r="A488" i="14" s="1"/>
  <c r="D490" i="14" l="1"/>
  <c r="F489" i="14"/>
  <c r="A489" i="14" s="1"/>
  <c r="J319" i="14"/>
  <c r="E319" i="14" s="1"/>
  <c r="G319" i="14" s="1"/>
  <c r="H318" i="14"/>
  <c r="I318" i="14" s="1"/>
  <c r="C318" i="14" s="1"/>
  <c r="B318" i="14"/>
  <c r="J320" i="14" l="1"/>
  <c r="E320" i="14" s="1"/>
  <c r="G320" i="14" s="1"/>
  <c r="H319" i="14"/>
  <c r="I319" i="14" s="1"/>
  <c r="C319" i="14" s="1"/>
  <c r="B319" i="14"/>
  <c r="D491" i="14"/>
  <c r="F490" i="14"/>
  <c r="A490" i="14" s="1"/>
  <c r="D492" i="14" l="1"/>
  <c r="F491" i="14"/>
  <c r="A491" i="14" s="1"/>
  <c r="J321" i="14"/>
  <c r="E321" i="14" s="1"/>
  <c r="G321" i="14" s="1"/>
  <c r="H320" i="14"/>
  <c r="I320" i="14" s="1"/>
  <c r="C320" i="14" s="1"/>
  <c r="B320" i="14"/>
  <c r="J322" i="14" l="1"/>
  <c r="E322" i="14" s="1"/>
  <c r="G322" i="14" s="1"/>
  <c r="H321" i="14"/>
  <c r="I321" i="14" s="1"/>
  <c r="C321" i="14" s="1"/>
  <c r="B321" i="14"/>
  <c r="D493" i="14"/>
  <c r="F492" i="14"/>
  <c r="A492" i="14" s="1"/>
  <c r="D494" i="14" l="1"/>
  <c r="F493" i="14"/>
  <c r="A493" i="14" s="1"/>
  <c r="J323" i="14"/>
  <c r="E323" i="14" s="1"/>
  <c r="G323" i="14" s="1"/>
  <c r="H322" i="14"/>
  <c r="I322" i="14" s="1"/>
  <c r="C322" i="14" s="1"/>
  <c r="B322" i="14"/>
  <c r="J324" i="14" l="1"/>
  <c r="E324" i="14" s="1"/>
  <c r="G324" i="14" s="1"/>
  <c r="H323" i="14"/>
  <c r="I323" i="14" s="1"/>
  <c r="C323" i="14" s="1"/>
  <c r="B323" i="14"/>
  <c r="D495" i="14"/>
  <c r="F494" i="14"/>
  <c r="A494" i="14" s="1"/>
  <c r="D496" i="14" l="1"/>
  <c r="F495" i="14"/>
  <c r="A495" i="14" s="1"/>
  <c r="J325" i="14"/>
  <c r="E325" i="14" s="1"/>
  <c r="G325" i="14" s="1"/>
  <c r="H324" i="14"/>
  <c r="I324" i="14" s="1"/>
  <c r="C324" i="14" s="1"/>
  <c r="B324" i="14"/>
  <c r="J326" i="14" l="1"/>
  <c r="E326" i="14" s="1"/>
  <c r="G326" i="14" s="1"/>
  <c r="H325" i="14"/>
  <c r="I325" i="14" s="1"/>
  <c r="C325" i="14" s="1"/>
  <c r="B325" i="14"/>
  <c r="D497" i="14"/>
  <c r="F496" i="14"/>
  <c r="A496" i="14" s="1"/>
  <c r="D498" i="14" l="1"/>
  <c r="F497" i="14"/>
  <c r="A497" i="14" s="1"/>
  <c r="J327" i="14"/>
  <c r="E327" i="14" s="1"/>
  <c r="G327" i="14" s="1"/>
  <c r="H326" i="14"/>
  <c r="I326" i="14" s="1"/>
  <c r="C326" i="14" s="1"/>
  <c r="B326" i="14"/>
  <c r="J328" i="14" l="1"/>
  <c r="E328" i="14" s="1"/>
  <c r="G328" i="14" s="1"/>
  <c r="H327" i="14"/>
  <c r="I327" i="14" s="1"/>
  <c r="C327" i="14" s="1"/>
  <c r="B327" i="14"/>
  <c r="D499" i="14"/>
  <c r="F498" i="14"/>
  <c r="A498" i="14" s="1"/>
  <c r="D500" i="14" l="1"/>
  <c r="F499" i="14"/>
  <c r="A499" i="14" s="1"/>
  <c r="J329" i="14"/>
  <c r="E329" i="14" s="1"/>
  <c r="G329" i="14" s="1"/>
  <c r="H328" i="14"/>
  <c r="I328" i="14" s="1"/>
  <c r="C328" i="14" s="1"/>
  <c r="B328" i="14"/>
  <c r="D501" i="14" l="1"/>
  <c r="F500" i="14"/>
  <c r="A500" i="14" s="1"/>
  <c r="J330" i="14"/>
  <c r="E330" i="14" s="1"/>
  <c r="G330" i="14" s="1"/>
  <c r="H329" i="14"/>
  <c r="I329" i="14" s="1"/>
  <c r="C329" i="14" s="1"/>
  <c r="B329" i="14"/>
  <c r="J331" i="14" l="1"/>
  <c r="E331" i="14" s="1"/>
  <c r="G331" i="14" s="1"/>
  <c r="H330" i="14"/>
  <c r="I330" i="14" s="1"/>
  <c r="C330" i="14" s="1"/>
  <c r="B330" i="14"/>
  <c r="D502" i="14"/>
  <c r="F501" i="14"/>
  <c r="A501" i="14" s="1"/>
  <c r="D503" i="14" l="1"/>
  <c r="F502" i="14"/>
  <c r="A502" i="14" s="1"/>
  <c r="J332" i="14"/>
  <c r="E332" i="14" s="1"/>
  <c r="G332" i="14" s="1"/>
  <c r="H331" i="14"/>
  <c r="I331" i="14" s="1"/>
  <c r="C331" i="14" s="1"/>
  <c r="B331" i="14"/>
  <c r="D504" i="14" l="1"/>
  <c r="F503" i="14"/>
  <c r="A503" i="14" s="1"/>
  <c r="J333" i="14"/>
  <c r="E333" i="14" s="1"/>
  <c r="G333" i="14" s="1"/>
  <c r="H332" i="14"/>
  <c r="I332" i="14" s="1"/>
  <c r="C332" i="14" s="1"/>
  <c r="B332" i="14"/>
  <c r="J334" i="14" l="1"/>
  <c r="E334" i="14" s="1"/>
  <c r="G334" i="14" s="1"/>
  <c r="H333" i="14"/>
  <c r="I333" i="14" s="1"/>
  <c r="C333" i="14" s="1"/>
  <c r="B333" i="14"/>
  <c r="D505" i="14"/>
  <c r="F504" i="14"/>
  <c r="A504" i="14" s="1"/>
  <c r="D506" i="14" l="1"/>
  <c r="F505" i="14"/>
  <c r="A505" i="14" s="1"/>
  <c r="J335" i="14"/>
  <c r="E335" i="14" s="1"/>
  <c r="G335" i="14" s="1"/>
  <c r="H334" i="14"/>
  <c r="I334" i="14" s="1"/>
  <c r="C334" i="14" s="1"/>
  <c r="B334" i="14"/>
  <c r="J336" i="14" l="1"/>
  <c r="E336" i="14" s="1"/>
  <c r="G336" i="14" s="1"/>
  <c r="H335" i="14"/>
  <c r="I335" i="14" s="1"/>
  <c r="C335" i="14" s="1"/>
  <c r="B335" i="14"/>
  <c r="D507" i="14"/>
  <c r="F506" i="14"/>
  <c r="A506" i="14" s="1"/>
  <c r="D508" i="14" l="1"/>
  <c r="F507" i="14"/>
  <c r="A507" i="14" s="1"/>
  <c r="J337" i="14"/>
  <c r="E337" i="14" s="1"/>
  <c r="G337" i="14" s="1"/>
  <c r="H336" i="14"/>
  <c r="I336" i="14" s="1"/>
  <c r="C336" i="14" s="1"/>
  <c r="B336" i="14"/>
  <c r="J338" i="14" l="1"/>
  <c r="E338" i="14" s="1"/>
  <c r="G338" i="14" s="1"/>
  <c r="H337" i="14"/>
  <c r="I337" i="14" s="1"/>
  <c r="C337" i="14" s="1"/>
  <c r="B337" i="14"/>
  <c r="D509" i="14"/>
  <c r="F508" i="14"/>
  <c r="A508" i="14" s="1"/>
  <c r="J339" i="14" l="1"/>
  <c r="E339" i="14" s="1"/>
  <c r="G339" i="14" s="1"/>
  <c r="H338" i="14"/>
  <c r="I338" i="14" s="1"/>
  <c r="C338" i="14" s="1"/>
  <c r="B338" i="14"/>
  <c r="D510" i="14"/>
  <c r="F509" i="14"/>
  <c r="A509" i="14" s="1"/>
  <c r="D511" i="14" l="1"/>
  <c r="F510" i="14"/>
  <c r="A510" i="14" s="1"/>
  <c r="J340" i="14"/>
  <c r="E340" i="14" s="1"/>
  <c r="G340" i="14" s="1"/>
  <c r="H339" i="14"/>
  <c r="I339" i="14" s="1"/>
  <c r="C339" i="14" s="1"/>
  <c r="B339" i="14"/>
  <c r="J341" i="14" l="1"/>
  <c r="E341" i="14" s="1"/>
  <c r="G341" i="14" s="1"/>
  <c r="H340" i="14"/>
  <c r="I340" i="14" s="1"/>
  <c r="C340" i="14" s="1"/>
  <c r="B340" i="14"/>
  <c r="D512" i="14"/>
  <c r="F511" i="14"/>
  <c r="A511" i="14" s="1"/>
  <c r="D513" i="14" l="1"/>
  <c r="F512" i="14"/>
  <c r="A512" i="14" s="1"/>
  <c r="J342" i="14"/>
  <c r="E342" i="14" s="1"/>
  <c r="G342" i="14" s="1"/>
  <c r="H341" i="14"/>
  <c r="I341" i="14" s="1"/>
  <c r="C341" i="14" s="1"/>
  <c r="B341" i="14"/>
  <c r="J343" i="14" l="1"/>
  <c r="E343" i="14" s="1"/>
  <c r="G343" i="14" s="1"/>
  <c r="H342" i="14"/>
  <c r="I342" i="14" s="1"/>
  <c r="C342" i="14" s="1"/>
  <c r="B342" i="14"/>
  <c r="D514" i="14"/>
  <c r="F513" i="14"/>
  <c r="A513" i="14" s="1"/>
  <c r="D515" i="14" l="1"/>
  <c r="F514" i="14"/>
  <c r="A514" i="14" s="1"/>
  <c r="J344" i="14"/>
  <c r="E344" i="14" s="1"/>
  <c r="G344" i="14" s="1"/>
  <c r="H343" i="14"/>
  <c r="I343" i="14" s="1"/>
  <c r="C343" i="14" s="1"/>
  <c r="B343" i="14"/>
  <c r="J345" i="14" l="1"/>
  <c r="E345" i="14" s="1"/>
  <c r="G345" i="14" s="1"/>
  <c r="H344" i="14"/>
  <c r="I344" i="14" s="1"/>
  <c r="C344" i="14" s="1"/>
  <c r="B344" i="14"/>
  <c r="D516" i="14"/>
  <c r="F515" i="14"/>
  <c r="A515" i="14" s="1"/>
  <c r="D517" i="14" l="1"/>
  <c r="F516" i="14"/>
  <c r="A516" i="14" s="1"/>
  <c r="J346" i="14"/>
  <c r="E346" i="14" s="1"/>
  <c r="G346" i="14" s="1"/>
  <c r="H345" i="14"/>
  <c r="I345" i="14" s="1"/>
  <c r="C345" i="14" s="1"/>
  <c r="B345" i="14"/>
  <c r="D518" i="14" l="1"/>
  <c r="F517" i="14"/>
  <c r="A517" i="14" s="1"/>
  <c r="J347" i="14"/>
  <c r="E347" i="14" s="1"/>
  <c r="G347" i="14" s="1"/>
  <c r="H346" i="14"/>
  <c r="I346" i="14" s="1"/>
  <c r="C346" i="14" s="1"/>
  <c r="B346" i="14"/>
  <c r="J348" i="14" l="1"/>
  <c r="E348" i="14" s="1"/>
  <c r="G348" i="14" s="1"/>
  <c r="H347" i="14"/>
  <c r="I347" i="14" s="1"/>
  <c r="C347" i="14" s="1"/>
  <c r="B347" i="14"/>
  <c r="D519" i="14"/>
  <c r="F518" i="14"/>
  <c r="A518" i="14" s="1"/>
  <c r="D520" i="14" l="1"/>
  <c r="F519" i="14"/>
  <c r="A519" i="14" s="1"/>
  <c r="J349" i="14"/>
  <c r="E349" i="14" s="1"/>
  <c r="G349" i="14" s="1"/>
  <c r="H348" i="14"/>
  <c r="I348" i="14" s="1"/>
  <c r="C348" i="14" s="1"/>
  <c r="B348" i="14"/>
  <c r="D521" i="14" l="1"/>
  <c r="F520" i="14"/>
  <c r="A520" i="14" s="1"/>
  <c r="J350" i="14"/>
  <c r="E350" i="14" s="1"/>
  <c r="G350" i="14" s="1"/>
  <c r="H349" i="14"/>
  <c r="I349" i="14" s="1"/>
  <c r="C349" i="14" s="1"/>
  <c r="B349" i="14"/>
  <c r="J351" i="14" l="1"/>
  <c r="E351" i="14" s="1"/>
  <c r="G351" i="14" s="1"/>
  <c r="H350" i="14"/>
  <c r="I350" i="14" s="1"/>
  <c r="C350" i="14" s="1"/>
  <c r="B350" i="14"/>
  <c r="D522" i="14"/>
  <c r="F521" i="14"/>
  <c r="A521" i="14" s="1"/>
  <c r="D523" i="14" l="1"/>
  <c r="F522" i="14"/>
  <c r="A522" i="14" s="1"/>
  <c r="J352" i="14"/>
  <c r="E352" i="14" s="1"/>
  <c r="G352" i="14" s="1"/>
  <c r="H351" i="14"/>
  <c r="I351" i="14" s="1"/>
  <c r="C351" i="14" s="1"/>
  <c r="B351" i="14"/>
  <c r="J353" i="14" l="1"/>
  <c r="E353" i="14" s="1"/>
  <c r="G353" i="14" s="1"/>
  <c r="H352" i="14"/>
  <c r="I352" i="14" s="1"/>
  <c r="C352" i="14" s="1"/>
  <c r="B352" i="14"/>
  <c r="D524" i="14"/>
  <c r="F523" i="14"/>
  <c r="A523" i="14" s="1"/>
  <c r="D525" i="14" l="1"/>
  <c r="F524" i="14"/>
  <c r="A524" i="14" s="1"/>
  <c r="J354" i="14"/>
  <c r="E354" i="14" s="1"/>
  <c r="G354" i="14" s="1"/>
  <c r="H353" i="14"/>
  <c r="I353" i="14" s="1"/>
  <c r="C353" i="14" s="1"/>
  <c r="B353" i="14"/>
  <c r="D526" i="14" l="1"/>
  <c r="F525" i="14"/>
  <c r="A525" i="14" s="1"/>
  <c r="J355" i="14"/>
  <c r="E355" i="14" s="1"/>
  <c r="G355" i="14" s="1"/>
  <c r="H354" i="14"/>
  <c r="I354" i="14" s="1"/>
  <c r="C354" i="14" s="1"/>
  <c r="B354" i="14"/>
  <c r="J356" i="14" l="1"/>
  <c r="E356" i="14" s="1"/>
  <c r="G356" i="14" s="1"/>
  <c r="H355" i="14"/>
  <c r="I355" i="14" s="1"/>
  <c r="C355" i="14" s="1"/>
  <c r="B355" i="14"/>
  <c r="D527" i="14"/>
  <c r="F526" i="14"/>
  <c r="A526" i="14" s="1"/>
  <c r="D528" i="14" l="1"/>
  <c r="F527" i="14"/>
  <c r="A527" i="14" s="1"/>
  <c r="J357" i="14"/>
  <c r="E357" i="14" s="1"/>
  <c r="G357" i="14" s="1"/>
  <c r="H356" i="14"/>
  <c r="I356" i="14" s="1"/>
  <c r="C356" i="14" s="1"/>
  <c r="B356" i="14"/>
  <c r="J358" i="14" l="1"/>
  <c r="E358" i="14" s="1"/>
  <c r="G358" i="14" s="1"/>
  <c r="H357" i="14"/>
  <c r="I357" i="14" s="1"/>
  <c r="C357" i="14" s="1"/>
  <c r="B357" i="14"/>
  <c r="D529" i="14"/>
  <c r="F528" i="14"/>
  <c r="A528" i="14" s="1"/>
  <c r="D530" i="14" l="1"/>
  <c r="F529" i="14"/>
  <c r="A529" i="14" s="1"/>
  <c r="J359" i="14"/>
  <c r="E359" i="14" s="1"/>
  <c r="G359" i="14" s="1"/>
  <c r="H358" i="14"/>
  <c r="I358" i="14" s="1"/>
  <c r="C358" i="14" s="1"/>
  <c r="B358" i="14"/>
  <c r="J360" i="14" l="1"/>
  <c r="E360" i="14" s="1"/>
  <c r="G360" i="14" s="1"/>
  <c r="H359" i="14"/>
  <c r="I359" i="14" s="1"/>
  <c r="C359" i="14" s="1"/>
  <c r="B359" i="14"/>
  <c r="D531" i="14"/>
  <c r="F530" i="14"/>
  <c r="A530" i="14" s="1"/>
  <c r="D532" i="14" l="1"/>
  <c r="F531" i="14"/>
  <c r="A531" i="14" s="1"/>
  <c r="J361" i="14"/>
  <c r="E361" i="14" s="1"/>
  <c r="G361" i="14" s="1"/>
  <c r="H360" i="14"/>
  <c r="I360" i="14" s="1"/>
  <c r="C360" i="14" s="1"/>
  <c r="B360" i="14"/>
  <c r="J362" i="14" l="1"/>
  <c r="E362" i="14" s="1"/>
  <c r="G362" i="14" s="1"/>
  <c r="H361" i="14"/>
  <c r="I361" i="14" s="1"/>
  <c r="C361" i="14" s="1"/>
  <c r="B361" i="14"/>
  <c r="D533" i="14"/>
  <c r="F532" i="14"/>
  <c r="A532" i="14" s="1"/>
  <c r="D534" i="14" l="1"/>
  <c r="F533" i="14"/>
  <c r="A533" i="14" s="1"/>
  <c r="J363" i="14"/>
  <c r="E363" i="14" s="1"/>
  <c r="G363" i="14" s="1"/>
  <c r="H362" i="14"/>
  <c r="I362" i="14" s="1"/>
  <c r="C362" i="14" s="1"/>
  <c r="B362" i="14"/>
  <c r="D535" i="14" l="1"/>
  <c r="F534" i="14"/>
  <c r="A534" i="14" s="1"/>
  <c r="J364" i="14"/>
  <c r="E364" i="14" s="1"/>
  <c r="G364" i="14" s="1"/>
  <c r="H363" i="14"/>
  <c r="I363" i="14" s="1"/>
  <c r="C363" i="14" s="1"/>
  <c r="B363" i="14"/>
  <c r="J365" i="14" l="1"/>
  <c r="E365" i="14" s="1"/>
  <c r="G365" i="14" s="1"/>
  <c r="H364" i="14"/>
  <c r="I364" i="14" s="1"/>
  <c r="C364" i="14" s="1"/>
  <c r="B364" i="14"/>
  <c r="D536" i="14"/>
  <c r="F535" i="14"/>
  <c r="A535" i="14" s="1"/>
  <c r="D537" i="14" l="1"/>
  <c r="F536" i="14"/>
  <c r="A536" i="14" s="1"/>
  <c r="J366" i="14"/>
  <c r="E366" i="14" s="1"/>
  <c r="G366" i="14" s="1"/>
  <c r="H365" i="14"/>
  <c r="I365" i="14" s="1"/>
  <c r="C365" i="14" s="1"/>
  <c r="B365" i="14"/>
  <c r="J367" i="14" l="1"/>
  <c r="E367" i="14" s="1"/>
  <c r="G367" i="14" s="1"/>
  <c r="H366" i="14"/>
  <c r="I366" i="14" s="1"/>
  <c r="C366" i="14" s="1"/>
  <c r="B366" i="14"/>
  <c r="D538" i="14"/>
  <c r="F537" i="14"/>
  <c r="A537" i="14" s="1"/>
  <c r="D539" i="14" l="1"/>
  <c r="F538" i="14"/>
  <c r="A538" i="14" s="1"/>
  <c r="J368" i="14"/>
  <c r="E368" i="14" s="1"/>
  <c r="G368" i="14" s="1"/>
  <c r="H367" i="14"/>
  <c r="I367" i="14" s="1"/>
  <c r="C367" i="14" s="1"/>
  <c r="B367" i="14"/>
  <c r="J369" i="14" l="1"/>
  <c r="E369" i="14" s="1"/>
  <c r="G369" i="14" s="1"/>
  <c r="H368" i="14"/>
  <c r="I368" i="14" s="1"/>
  <c r="C368" i="14" s="1"/>
  <c r="B368" i="14"/>
  <c r="D540" i="14"/>
  <c r="F539" i="14"/>
  <c r="A539" i="14" s="1"/>
  <c r="D541" i="14" l="1"/>
  <c r="F540" i="14"/>
  <c r="A540" i="14" s="1"/>
  <c r="J370" i="14"/>
  <c r="E370" i="14" s="1"/>
  <c r="G370" i="14" s="1"/>
  <c r="H369" i="14"/>
  <c r="I369" i="14" s="1"/>
  <c r="C369" i="14" s="1"/>
  <c r="B369" i="14"/>
  <c r="J371" i="14" l="1"/>
  <c r="E371" i="14" s="1"/>
  <c r="G371" i="14" s="1"/>
  <c r="H370" i="14"/>
  <c r="I370" i="14" s="1"/>
  <c r="C370" i="14" s="1"/>
  <c r="B370" i="14"/>
  <c r="D542" i="14"/>
  <c r="F541" i="14"/>
  <c r="A541" i="14" s="1"/>
  <c r="D543" i="14" l="1"/>
  <c r="F542" i="14"/>
  <c r="A542" i="14" s="1"/>
  <c r="J372" i="14"/>
  <c r="E372" i="14" s="1"/>
  <c r="G372" i="14" s="1"/>
  <c r="H371" i="14"/>
  <c r="I371" i="14" s="1"/>
  <c r="C371" i="14" s="1"/>
  <c r="B371" i="14"/>
  <c r="J373" i="14" l="1"/>
  <c r="E373" i="14" s="1"/>
  <c r="G373" i="14" s="1"/>
  <c r="H372" i="14"/>
  <c r="I372" i="14" s="1"/>
  <c r="C372" i="14" s="1"/>
  <c r="B372" i="14"/>
  <c r="D544" i="14"/>
  <c r="F543" i="14"/>
  <c r="A543" i="14" s="1"/>
  <c r="D545" i="14" l="1"/>
  <c r="F544" i="14"/>
  <c r="A544" i="14" s="1"/>
  <c r="J374" i="14"/>
  <c r="E374" i="14" s="1"/>
  <c r="G374" i="14" s="1"/>
  <c r="H373" i="14"/>
  <c r="I373" i="14" s="1"/>
  <c r="C373" i="14" s="1"/>
  <c r="B373" i="14"/>
  <c r="J375" i="14" l="1"/>
  <c r="E375" i="14" s="1"/>
  <c r="G375" i="14" s="1"/>
  <c r="H374" i="14"/>
  <c r="I374" i="14" s="1"/>
  <c r="C374" i="14" s="1"/>
  <c r="B374" i="14"/>
  <c r="D546" i="14"/>
  <c r="F545" i="14"/>
  <c r="A545" i="14" s="1"/>
  <c r="D547" i="14" l="1"/>
  <c r="F546" i="14"/>
  <c r="A546" i="14" s="1"/>
  <c r="J376" i="14"/>
  <c r="E376" i="14" s="1"/>
  <c r="G376" i="14" s="1"/>
  <c r="H375" i="14"/>
  <c r="I375" i="14" s="1"/>
  <c r="C375" i="14" s="1"/>
  <c r="B375" i="14"/>
  <c r="J377" i="14" l="1"/>
  <c r="E377" i="14" s="1"/>
  <c r="G377" i="14" s="1"/>
  <c r="H376" i="14"/>
  <c r="I376" i="14" s="1"/>
  <c r="C376" i="14" s="1"/>
  <c r="B376" i="14"/>
  <c r="D548" i="14"/>
  <c r="F547" i="14"/>
  <c r="A547" i="14" s="1"/>
  <c r="D549" i="14" l="1"/>
  <c r="F548" i="14"/>
  <c r="A548" i="14" s="1"/>
  <c r="J378" i="14"/>
  <c r="E378" i="14" s="1"/>
  <c r="G378" i="14" s="1"/>
  <c r="H377" i="14"/>
  <c r="I377" i="14" s="1"/>
  <c r="C377" i="14" s="1"/>
  <c r="B377" i="14"/>
  <c r="J379" i="14" l="1"/>
  <c r="E379" i="14" s="1"/>
  <c r="G379" i="14" s="1"/>
  <c r="H378" i="14"/>
  <c r="I378" i="14" s="1"/>
  <c r="C378" i="14" s="1"/>
  <c r="B378" i="14"/>
  <c r="D550" i="14"/>
  <c r="F549" i="14"/>
  <c r="A549" i="14" s="1"/>
  <c r="D551" i="14" l="1"/>
  <c r="F550" i="14"/>
  <c r="A550" i="14" s="1"/>
  <c r="J380" i="14"/>
  <c r="E380" i="14" s="1"/>
  <c r="G380" i="14" s="1"/>
  <c r="H379" i="14"/>
  <c r="I379" i="14" s="1"/>
  <c r="C379" i="14" s="1"/>
  <c r="B379" i="14"/>
  <c r="J381" i="14" l="1"/>
  <c r="E381" i="14" s="1"/>
  <c r="G381" i="14" s="1"/>
  <c r="H380" i="14"/>
  <c r="I380" i="14" s="1"/>
  <c r="C380" i="14" s="1"/>
  <c r="B380" i="14"/>
  <c r="D552" i="14"/>
  <c r="F551" i="14"/>
  <c r="A551" i="14" s="1"/>
  <c r="D553" i="14" l="1"/>
  <c r="F552" i="14"/>
  <c r="A552" i="14" s="1"/>
  <c r="J382" i="14"/>
  <c r="E382" i="14" s="1"/>
  <c r="G382" i="14" s="1"/>
  <c r="H381" i="14"/>
  <c r="I381" i="14" s="1"/>
  <c r="C381" i="14" s="1"/>
  <c r="B381" i="14"/>
  <c r="J383" i="14" l="1"/>
  <c r="E383" i="14" s="1"/>
  <c r="G383" i="14" s="1"/>
  <c r="H382" i="14"/>
  <c r="I382" i="14" s="1"/>
  <c r="C382" i="14" s="1"/>
  <c r="B382" i="14"/>
  <c r="D554" i="14"/>
  <c r="F553" i="14"/>
  <c r="A553" i="14" s="1"/>
  <c r="D555" i="14" l="1"/>
  <c r="F554" i="14"/>
  <c r="A554" i="14" s="1"/>
  <c r="J384" i="14"/>
  <c r="E384" i="14" s="1"/>
  <c r="G384" i="14" s="1"/>
  <c r="H383" i="14"/>
  <c r="I383" i="14" s="1"/>
  <c r="C383" i="14" s="1"/>
  <c r="B383" i="14"/>
  <c r="J385" i="14" l="1"/>
  <c r="E385" i="14" s="1"/>
  <c r="G385" i="14" s="1"/>
  <c r="H384" i="14"/>
  <c r="I384" i="14" s="1"/>
  <c r="C384" i="14" s="1"/>
  <c r="B384" i="14"/>
  <c r="D556" i="14"/>
  <c r="F555" i="14"/>
  <c r="A555" i="14" s="1"/>
  <c r="D557" i="14" l="1"/>
  <c r="F556" i="14"/>
  <c r="A556" i="14" s="1"/>
  <c r="J386" i="14"/>
  <c r="E386" i="14" s="1"/>
  <c r="G386" i="14" s="1"/>
  <c r="H385" i="14"/>
  <c r="I385" i="14" s="1"/>
  <c r="C385" i="14" s="1"/>
  <c r="B385" i="14"/>
  <c r="J387" i="14" l="1"/>
  <c r="E387" i="14" s="1"/>
  <c r="G387" i="14" s="1"/>
  <c r="H386" i="14"/>
  <c r="I386" i="14" s="1"/>
  <c r="C386" i="14" s="1"/>
  <c r="B386" i="14"/>
  <c r="D558" i="14"/>
  <c r="F557" i="14"/>
  <c r="A557" i="14" s="1"/>
  <c r="D559" i="14" l="1"/>
  <c r="F558" i="14"/>
  <c r="A558" i="14" s="1"/>
  <c r="J388" i="14"/>
  <c r="E388" i="14" s="1"/>
  <c r="G388" i="14" s="1"/>
  <c r="H387" i="14"/>
  <c r="I387" i="14" s="1"/>
  <c r="C387" i="14" s="1"/>
  <c r="B387" i="14"/>
  <c r="D560" i="14" l="1"/>
  <c r="F559" i="14"/>
  <c r="A559" i="14" s="1"/>
  <c r="J389" i="14"/>
  <c r="E389" i="14" s="1"/>
  <c r="G389" i="14" s="1"/>
  <c r="H388" i="14"/>
  <c r="I388" i="14" s="1"/>
  <c r="C388" i="14" s="1"/>
  <c r="B388" i="14"/>
  <c r="J390" i="14" l="1"/>
  <c r="E390" i="14" s="1"/>
  <c r="G390" i="14" s="1"/>
  <c r="H389" i="14"/>
  <c r="I389" i="14" s="1"/>
  <c r="C389" i="14" s="1"/>
  <c r="B389" i="14"/>
  <c r="D561" i="14"/>
  <c r="F560" i="14"/>
  <c r="A560" i="14" s="1"/>
  <c r="D562" i="14" l="1"/>
  <c r="F561" i="14"/>
  <c r="A561" i="14" s="1"/>
  <c r="J391" i="14"/>
  <c r="E391" i="14" s="1"/>
  <c r="G391" i="14" s="1"/>
  <c r="H390" i="14"/>
  <c r="I390" i="14" s="1"/>
  <c r="C390" i="14" s="1"/>
  <c r="B390" i="14"/>
  <c r="J392" i="14" l="1"/>
  <c r="E392" i="14" s="1"/>
  <c r="G392" i="14" s="1"/>
  <c r="H391" i="14"/>
  <c r="I391" i="14" s="1"/>
  <c r="C391" i="14" s="1"/>
  <c r="B391" i="14"/>
  <c r="D563" i="14"/>
  <c r="F562" i="14"/>
  <c r="A562" i="14" s="1"/>
  <c r="D564" i="14" l="1"/>
  <c r="F563" i="14"/>
  <c r="A563" i="14" s="1"/>
  <c r="J393" i="14"/>
  <c r="E393" i="14" s="1"/>
  <c r="G393" i="14" s="1"/>
  <c r="H392" i="14"/>
  <c r="I392" i="14" s="1"/>
  <c r="C392" i="14" s="1"/>
  <c r="B392" i="14"/>
  <c r="J394" i="14" l="1"/>
  <c r="E394" i="14" s="1"/>
  <c r="G394" i="14" s="1"/>
  <c r="H393" i="14"/>
  <c r="I393" i="14" s="1"/>
  <c r="C393" i="14" s="1"/>
  <c r="B393" i="14"/>
  <c r="D565" i="14"/>
  <c r="F564" i="14"/>
  <c r="A564" i="14" s="1"/>
  <c r="D566" i="14" l="1"/>
  <c r="F565" i="14"/>
  <c r="A565" i="14" s="1"/>
  <c r="J395" i="14"/>
  <c r="E395" i="14" s="1"/>
  <c r="G395" i="14" s="1"/>
  <c r="H394" i="14"/>
  <c r="I394" i="14" s="1"/>
  <c r="C394" i="14" s="1"/>
  <c r="B394" i="14"/>
  <c r="J396" i="14" l="1"/>
  <c r="E396" i="14" s="1"/>
  <c r="G396" i="14" s="1"/>
  <c r="H395" i="14"/>
  <c r="I395" i="14" s="1"/>
  <c r="C395" i="14" s="1"/>
  <c r="B395" i="14"/>
  <c r="D567" i="14"/>
  <c r="F566" i="14"/>
  <c r="A566" i="14" s="1"/>
  <c r="D568" i="14" l="1"/>
  <c r="F567" i="14"/>
  <c r="A567" i="14" s="1"/>
  <c r="J397" i="14"/>
  <c r="E397" i="14" s="1"/>
  <c r="G397" i="14" s="1"/>
  <c r="H396" i="14"/>
  <c r="I396" i="14" s="1"/>
  <c r="C396" i="14" s="1"/>
  <c r="B396" i="14"/>
  <c r="D569" i="14" l="1"/>
  <c r="F568" i="14"/>
  <c r="A568" i="14" s="1"/>
  <c r="J398" i="14"/>
  <c r="E398" i="14" s="1"/>
  <c r="G398" i="14" s="1"/>
  <c r="H397" i="14"/>
  <c r="I397" i="14" s="1"/>
  <c r="C397" i="14" s="1"/>
  <c r="B397" i="14"/>
  <c r="J399" i="14" l="1"/>
  <c r="E399" i="14" s="1"/>
  <c r="G399" i="14" s="1"/>
  <c r="H398" i="14"/>
  <c r="I398" i="14" s="1"/>
  <c r="C398" i="14" s="1"/>
  <c r="B398" i="14"/>
  <c r="D570" i="14"/>
  <c r="F569" i="14"/>
  <c r="A569" i="14" s="1"/>
  <c r="D571" i="14" l="1"/>
  <c r="F570" i="14"/>
  <c r="A570" i="14" s="1"/>
  <c r="J400" i="14"/>
  <c r="E400" i="14" s="1"/>
  <c r="G400" i="14" s="1"/>
  <c r="H399" i="14"/>
  <c r="I399" i="14" s="1"/>
  <c r="C399" i="14" s="1"/>
  <c r="B399" i="14"/>
  <c r="J401" i="14" l="1"/>
  <c r="E401" i="14" s="1"/>
  <c r="G401" i="14" s="1"/>
  <c r="H400" i="14"/>
  <c r="I400" i="14" s="1"/>
  <c r="C400" i="14" s="1"/>
  <c r="B400" i="14"/>
  <c r="D572" i="14"/>
  <c r="F571" i="14"/>
  <c r="A571" i="14" s="1"/>
  <c r="D573" i="14" l="1"/>
  <c r="F572" i="14"/>
  <c r="A572" i="14" s="1"/>
  <c r="J402" i="14"/>
  <c r="E402" i="14" s="1"/>
  <c r="G402" i="14" s="1"/>
  <c r="H401" i="14"/>
  <c r="I401" i="14" s="1"/>
  <c r="C401" i="14" s="1"/>
  <c r="B401" i="14"/>
  <c r="D574" i="14" l="1"/>
  <c r="F573" i="14"/>
  <c r="A573" i="14" s="1"/>
  <c r="J403" i="14"/>
  <c r="E403" i="14" s="1"/>
  <c r="G403" i="14" s="1"/>
  <c r="H402" i="14"/>
  <c r="I402" i="14" s="1"/>
  <c r="C402" i="14" s="1"/>
  <c r="B402" i="14"/>
  <c r="J404" i="14" l="1"/>
  <c r="E404" i="14" s="1"/>
  <c r="G404" i="14" s="1"/>
  <c r="H403" i="14"/>
  <c r="I403" i="14" s="1"/>
  <c r="C403" i="14" s="1"/>
  <c r="B403" i="14"/>
  <c r="D575" i="14"/>
  <c r="F574" i="14"/>
  <c r="A574" i="14" s="1"/>
  <c r="D576" i="14" l="1"/>
  <c r="F575" i="14"/>
  <c r="A575" i="14" s="1"/>
  <c r="J405" i="14"/>
  <c r="E405" i="14" s="1"/>
  <c r="G405" i="14" s="1"/>
  <c r="H404" i="14"/>
  <c r="I404" i="14" s="1"/>
  <c r="C404" i="14" s="1"/>
  <c r="B404" i="14"/>
  <c r="J406" i="14" l="1"/>
  <c r="E406" i="14" s="1"/>
  <c r="G406" i="14" s="1"/>
  <c r="H405" i="14"/>
  <c r="I405" i="14" s="1"/>
  <c r="C405" i="14" s="1"/>
  <c r="B405" i="14"/>
  <c r="D577" i="14"/>
  <c r="F576" i="14"/>
  <c r="A576" i="14" s="1"/>
  <c r="D578" i="14" l="1"/>
  <c r="F577" i="14"/>
  <c r="A577" i="14" s="1"/>
  <c r="J407" i="14"/>
  <c r="E407" i="14" s="1"/>
  <c r="G407" i="14" s="1"/>
  <c r="H406" i="14"/>
  <c r="I406" i="14" s="1"/>
  <c r="C406" i="14" s="1"/>
  <c r="B406" i="14"/>
  <c r="J408" i="14" l="1"/>
  <c r="E408" i="14" s="1"/>
  <c r="G408" i="14" s="1"/>
  <c r="H407" i="14"/>
  <c r="I407" i="14" s="1"/>
  <c r="C407" i="14" s="1"/>
  <c r="B407" i="14"/>
  <c r="D579" i="14"/>
  <c r="F578" i="14"/>
  <c r="A578" i="14" s="1"/>
  <c r="D580" i="14" l="1"/>
  <c r="F579" i="14"/>
  <c r="A579" i="14" s="1"/>
  <c r="J409" i="14"/>
  <c r="E409" i="14" s="1"/>
  <c r="G409" i="14" s="1"/>
  <c r="H408" i="14"/>
  <c r="I408" i="14" s="1"/>
  <c r="C408" i="14" s="1"/>
  <c r="B408" i="14"/>
  <c r="D581" i="14" l="1"/>
  <c r="F580" i="14"/>
  <c r="A580" i="14" s="1"/>
  <c r="J410" i="14"/>
  <c r="E410" i="14" s="1"/>
  <c r="G410" i="14" s="1"/>
  <c r="H409" i="14"/>
  <c r="I409" i="14" s="1"/>
  <c r="C409" i="14" s="1"/>
  <c r="B409" i="14"/>
  <c r="J411" i="14" l="1"/>
  <c r="E411" i="14" s="1"/>
  <c r="G411" i="14" s="1"/>
  <c r="H410" i="14"/>
  <c r="I410" i="14" s="1"/>
  <c r="C410" i="14" s="1"/>
  <c r="B410" i="14"/>
  <c r="D582" i="14"/>
  <c r="F581" i="14"/>
  <c r="A581" i="14" s="1"/>
  <c r="D583" i="14" l="1"/>
  <c r="F582" i="14"/>
  <c r="A582" i="14" s="1"/>
  <c r="J412" i="14"/>
  <c r="E412" i="14" s="1"/>
  <c r="G412" i="14" s="1"/>
  <c r="H411" i="14"/>
  <c r="I411" i="14" s="1"/>
  <c r="C411" i="14" s="1"/>
  <c r="B411" i="14"/>
  <c r="J413" i="14" l="1"/>
  <c r="E413" i="14" s="1"/>
  <c r="G413" i="14" s="1"/>
  <c r="H412" i="14"/>
  <c r="I412" i="14" s="1"/>
  <c r="C412" i="14" s="1"/>
  <c r="B412" i="14"/>
  <c r="D584" i="14"/>
  <c r="F583" i="14"/>
  <c r="A583" i="14" s="1"/>
  <c r="D585" i="14" l="1"/>
  <c r="F584" i="14"/>
  <c r="A584" i="14" s="1"/>
  <c r="J414" i="14"/>
  <c r="E414" i="14" s="1"/>
  <c r="G414" i="14" s="1"/>
  <c r="H413" i="14"/>
  <c r="I413" i="14" s="1"/>
  <c r="C413" i="14" s="1"/>
  <c r="B413" i="14"/>
  <c r="J415" i="14" l="1"/>
  <c r="E415" i="14" s="1"/>
  <c r="G415" i="14" s="1"/>
  <c r="H414" i="14"/>
  <c r="I414" i="14" s="1"/>
  <c r="C414" i="14" s="1"/>
  <c r="B414" i="14"/>
  <c r="D586" i="14"/>
  <c r="F585" i="14"/>
  <c r="A585" i="14" s="1"/>
  <c r="D587" i="14" l="1"/>
  <c r="F586" i="14"/>
  <c r="A586" i="14" s="1"/>
  <c r="J416" i="14"/>
  <c r="E416" i="14" s="1"/>
  <c r="G416" i="14" s="1"/>
  <c r="H415" i="14"/>
  <c r="I415" i="14" s="1"/>
  <c r="C415" i="14" s="1"/>
  <c r="B415" i="14"/>
  <c r="J417" i="14" l="1"/>
  <c r="E417" i="14" s="1"/>
  <c r="G417" i="14" s="1"/>
  <c r="H416" i="14"/>
  <c r="I416" i="14" s="1"/>
  <c r="C416" i="14" s="1"/>
  <c r="B416" i="14"/>
  <c r="D588" i="14"/>
  <c r="F587" i="14"/>
  <c r="A587" i="14" s="1"/>
  <c r="D589" i="14" l="1"/>
  <c r="F588" i="14"/>
  <c r="A588" i="14" s="1"/>
  <c r="J418" i="14"/>
  <c r="E418" i="14" s="1"/>
  <c r="G418" i="14" s="1"/>
  <c r="H417" i="14"/>
  <c r="I417" i="14" s="1"/>
  <c r="C417" i="14" s="1"/>
  <c r="B417" i="14"/>
  <c r="J419" i="14" l="1"/>
  <c r="E419" i="14" s="1"/>
  <c r="G419" i="14" s="1"/>
  <c r="H418" i="14"/>
  <c r="I418" i="14" s="1"/>
  <c r="C418" i="14" s="1"/>
  <c r="B418" i="14"/>
  <c r="D590" i="14"/>
  <c r="F589" i="14"/>
  <c r="A589" i="14" s="1"/>
  <c r="D591" i="14" l="1"/>
  <c r="F590" i="14"/>
  <c r="A590" i="14" s="1"/>
  <c r="J420" i="14"/>
  <c r="E420" i="14" s="1"/>
  <c r="G420" i="14" s="1"/>
  <c r="H419" i="14"/>
  <c r="I419" i="14" s="1"/>
  <c r="C419" i="14" s="1"/>
  <c r="B419" i="14"/>
  <c r="J421" i="14" l="1"/>
  <c r="E421" i="14" s="1"/>
  <c r="G421" i="14" s="1"/>
  <c r="H420" i="14"/>
  <c r="I420" i="14" s="1"/>
  <c r="C420" i="14" s="1"/>
  <c r="B420" i="14"/>
  <c r="D592" i="14"/>
  <c r="F591" i="14"/>
  <c r="A591" i="14" s="1"/>
  <c r="D593" i="14" l="1"/>
  <c r="F592" i="14"/>
  <c r="A592" i="14" s="1"/>
  <c r="J422" i="14"/>
  <c r="E422" i="14" s="1"/>
  <c r="G422" i="14" s="1"/>
  <c r="H421" i="14"/>
  <c r="I421" i="14" s="1"/>
  <c r="C421" i="14" s="1"/>
  <c r="B421" i="14"/>
  <c r="D594" i="14" l="1"/>
  <c r="F593" i="14"/>
  <c r="A593" i="14" s="1"/>
  <c r="J423" i="14"/>
  <c r="E423" i="14" s="1"/>
  <c r="G423" i="14" s="1"/>
  <c r="H422" i="14"/>
  <c r="I422" i="14" s="1"/>
  <c r="C422" i="14" s="1"/>
  <c r="B422" i="14"/>
  <c r="J424" i="14" l="1"/>
  <c r="E424" i="14" s="1"/>
  <c r="G424" i="14" s="1"/>
  <c r="H423" i="14"/>
  <c r="I423" i="14" s="1"/>
  <c r="C423" i="14" s="1"/>
  <c r="B423" i="14"/>
  <c r="D595" i="14"/>
  <c r="F594" i="14"/>
  <c r="A594" i="14" s="1"/>
  <c r="D596" i="14" l="1"/>
  <c r="F595" i="14"/>
  <c r="A595" i="14" s="1"/>
  <c r="J425" i="14"/>
  <c r="E425" i="14" s="1"/>
  <c r="G425" i="14" s="1"/>
  <c r="H424" i="14"/>
  <c r="I424" i="14" s="1"/>
  <c r="C424" i="14" s="1"/>
  <c r="B424" i="14"/>
  <c r="J426" i="14" l="1"/>
  <c r="E426" i="14" s="1"/>
  <c r="G426" i="14" s="1"/>
  <c r="H425" i="14"/>
  <c r="I425" i="14" s="1"/>
  <c r="C425" i="14" s="1"/>
  <c r="B425" i="14"/>
  <c r="D597" i="14"/>
  <c r="F596" i="14"/>
  <c r="A596" i="14" s="1"/>
  <c r="D598" i="14" l="1"/>
  <c r="F597" i="14"/>
  <c r="A597" i="14" s="1"/>
  <c r="J427" i="14"/>
  <c r="E427" i="14" s="1"/>
  <c r="G427" i="14" s="1"/>
  <c r="H426" i="14"/>
  <c r="I426" i="14" s="1"/>
  <c r="C426" i="14" s="1"/>
  <c r="B426" i="14"/>
  <c r="J428" i="14" l="1"/>
  <c r="E428" i="14" s="1"/>
  <c r="G428" i="14" s="1"/>
  <c r="H427" i="14"/>
  <c r="I427" i="14" s="1"/>
  <c r="C427" i="14" s="1"/>
  <c r="B427" i="14"/>
  <c r="D599" i="14"/>
  <c r="F598" i="14"/>
  <c r="A598" i="14" s="1"/>
  <c r="D600" i="14" l="1"/>
  <c r="F599" i="14"/>
  <c r="A599" i="14" s="1"/>
  <c r="J429" i="14"/>
  <c r="E429" i="14" s="1"/>
  <c r="G429" i="14" s="1"/>
  <c r="H428" i="14"/>
  <c r="I428" i="14" s="1"/>
  <c r="C428" i="14" s="1"/>
  <c r="B428" i="14"/>
  <c r="J430" i="14" l="1"/>
  <c r="E430" i="14" s="1"/>
  <c r="G430" i="14" s="1"/>
  <c r="H429" i="14"/>
  <c r="I429" i="14" s="1"/>
  <c r="C429" i="14" s="1"/>
  <c r="B429" i="14"/>
  <c r="D601" i="14"/>
  <c r="F600" i="14"/>
  <c r="A600" i="14" s="1"/>
  <c r="D602" i="14" l="1"/>
  <c r="F601" i="14"/>
  <c r="A601" i="14" s="1"/>
  <c r="J431" i="14"/>
  <c r="E431" i="14" s="1"/>
  <c r="G431" i="14" s="1"/>
  <c r="H430" i="14"/>
  <c r="I430" i="14" s="1"/>
  <c r="C430" i="14" s="1"/>
  <c r="B430" i="14"/>
  <c r="J432" i="14" l="1"/>
  <c r="E432" i="14" s="1"/>
  <c r="G432" i="14" s="1"/>
  <c r="H431" i="14"/>
  <c r="I431" i="14" s="1"/>
  <c r="C431" i="14" s="1"/>
  <c r="B431" i="14"/>
  <c r="D603" i="14"/>
  <c r="F602" i="14"/>
  <c r="A602" i="14" s="1"/>
  <c r="D604" i="14" l="1"/>
  <c r="F603" i="14"/>
  <c r="A603" i="14" s="1"/>
  <c r="J433" i="14"/>
  <c r="E433" i="14" s="1"/>
  <c r="G433" i="14" s="1"/>
  <c r="H432" i="14"/>
  <c r="I432" i="14" s="1"/>
  <c r="C432" i="14" s="1"/>
  <c r="B432" i="14"/>
  <c r="J434" i="14" l="1"/>
  <c r="E434" i="14" s="1"/>
  <c r="G434" i="14" s="1"/>
  <c r="H433" i="14"/>
  <c r="I433" i="14" s="1"/>
  <c r="C433" i="14" s="1"/>
  <c r="B433" i="14"/>
  <c r="D605" i="14"/>
  <c r="F604" i="14"/>
  <c r="A604" i="14" s="1"/>
  <c r="D606" i="14" l="1"/>
  <c r="F605" i="14"/>
  <c r="A605" i="14" s="1"/>
  <c r="J435" i="14"/>
  <c r="E435" i="14" s="1"/>
  <c r="G435" i="14" s="1"/>
  <c r="H434" i="14"/>
  <c r="I434" i="14" s="1"/>
  <c r="C434" i="14" s="1"/>
  <c r="B434" i="14"/>
  <c r="J436" i="14" l="1"/>
  <c r="E436" i="14" s="1"/>
  <c r="G436" i="14" s="1"/>
  <c r="H435" i="14"/>
  <c r="I435" i="14" s="1"/>
  <c r="C435" i="14" s="1"/>
  <c r="B435" i="14"/>
  <c r="D607" i="14"/>
  <c r="F606" i="14"/>
  <c r="A606" i="14" s="1"/>
  <c r="D608" i="14" l="1"/>
  <c r="F607" i="14"/>
  <c r="A607" i="14" s="1"/>
  <c r="J437" i="14"/>
  <c r="E437" i="14" s="1"/>
  <c r="G437" i="14" s="1"/>
  <c r="H436" i="14"/>
  <c r="I436" i="14" s="1"/>
  <c r="C436" i="14" s="1"/>
  <c r="B436" i="14"/>
  <c r="J438" i="14" l="1"/>
  <c r="E438" i="14" s="1"/>
  <c r="G438" i="14" s="1"/>
  <c r="H437" i="14"/>
  <c r="I437" i="14" s="1"/>
  <c r="C437" i="14" s="1"/>
  <c r="B437" i="14"/>
  <c r="D609" i="14"/>
  <c r="F608" i="14"/>
  <c r="A608" i="14" s="1"/>
  <c r="D610" i="14" l="1"/>
  <c r="F609" i="14"/>
  <c r="A609" i="14" s="1"/>
  <c r="J439" i="14"/>
  <c r="E439" i="14" s="1"/>
  <c r="G439" i="14" s="1"/>
  <c r="H438" i="14"/>
  <c r="I438" i="14" s="1"/>
  <c r="C438" i="14" s="1"/>
  <c r="B438" i="14"/>
  <c r="J440" i="14" l="1"/>
  <c r="E440" i="14" s="1"/>
  <c r="G440" i="14" s="1"/>
  <c r="H439" i="14"/>
  <c r="I439" i="14" s="1"/>
  <c r="C439" i="14" s="1"/>
  <c r="B439" i="14"/>
  <c r="D611" i="14"/>
  <c r="F610" i="14"/>
  <c r="A610" i="14" s="1"/>
  <c r="D612" i="14" l="1"/>
  <c r="F611" i="14"/>
  <c r="A611" i="14" s="1"/>
  <c r="J441" i="14"/>
  <c r="E441" i="14" s="1"/>
  <c r="G441" i="14" s="1"/>
  <c r="H440" i="14"/>
  <c r="I440" i="14" s="1"/>
  <c r="C440" i="14" s="1"/>
  <c r="B440" i="14"/>
  <c r="J442" i="14" l="1"/>
  <c r="E442" i="14" s="1"/>
  <c r="G442" i="14" s="1"/>
  <c r="H441" i="14"/>
  <c r="I441" i="14" s="1"/>
  <c r="C441" i="14" s="1"/>
  <c r="B441" i="14"/>
  <c r="D613" i="14"/>
  <c r="F612" i="14"/>
  <c r="A612" i="14" s="1"/>
  <c r="D614" i="14" l="1"/>
  <c r="F613" i="14"/>
  <c r="A613" i="14" s="1"/>
  <c r="J443" i="14"/>
  <c r="E443" i="14" s="1"/>
  <c r="G443" i="14" s="1"/>
  <c r="H442" i="14"/>
  <c r="I442" i="14" s="1"/>
  <c r="C442" i="14" s="1"/>
  <c r="B442" i="14"/>
  <c r="J444" i="14" l="1"/>
  <c r="E444" i="14" s="1"/>
  <c r="G444" i="14" s="1"/>
  <c r="H443" i="14"/>
  <c r="I443" i="14" s="1"/>
  <c r="C443" i="14" s="1"/>
  <c r="B443" i="14"/>
  <c r="D615" i="14"/>
  <c r="F614" i="14"/>
  <c r="A614" i="14" s="1"/>
  <c r="D616" i="14" l="1"/>
  <c r="F615" i="14"/>
  <c r="A615" i="14" s="1"/>
  <c r="J445" i="14"/>
  <c r="E445" i="14" s="1"/>
  <c r="G445" i="14" s="1"/>
  <c r="H444" i="14"/>
  <c r="I444" i="14" s="1"/>
  <c r="C444" i="14" s="1"/>
  <c r="B444" i="14"/>
  <c r="J446" i="14" l="1"/>
  <c r="E446" i="14" s="1"/>
  <c r="G446" i="14" s="1"/>
  <c r="H445" i="14"/>
  <c r="I445" i="14" s="1"/>
  <c r="C445" i="14" s="1"/>
  <c r="B445" i="14"/>
  <c r="D617" i="14"/>
  <c r="F616" i="14"/>
  <c r="A616" i="14" s="1"/>
  <c r="D618" i="14" l="1"/>
  <c r="F617" i="14"/>
  <c r="A617" i="14" s="1"/>
  <c r="J447" i="14"/>
  <c r="E447" i="14" s="1"/>
  <c r="G447" i="14" s="1"/>
  <c r="H446" i="14"/>
  <c r="I446" i="14" s="1"/>
  <c r="C446" i="14" s="1"/>
  <c r="B446" i="14"/>
  <c r="J448" i="14" l="1"/>
  <c r="E448" i="14" s="1"/>
  <c r="G448" i="14" s="1"/>
  <c r="H447" i="14"/>
  <c r="I447" i="14" s="1"/>
  <c r="C447" i="14" s="1"/>
  <c r="B447" i="14"/>
  <c r="D619" i="14"/>
  <c r="F618" i="14"/>
  <c r="A618" i="14" s="1"/>
  <c r="D620" i="14" l="1"/>
  <c r="F619" i="14"/>
  <c r="A619" i="14" s="1"/>
  <c r="J449" i="14"/>
  <c r="E449" i="14" s="1"/>
  <c r="G449" i="14" s="1"/>
  <c r="H448" i="14"/>
  <c r="I448" i="14" s="1"/>
  <c r="C448" i="14" s="1"/>
  <c r="B448" i="14"/>
  <c r="J450" i="14" l="1"/>
  <c r="E450" i="14" s="1"/>
  <c r="G450" i="14" s="1"/>
  <c r="H449" i="14"/>
  <c r="I449" i="14" s="1"/>
  <c r="C449" i="14" s="1"/>
  <c r="B449" i="14"/>
  <c r="D621" i="14"/>
  <c r="F620" i="14"/>
  <c r="A620" i="14" s="1"/>
  <c r="D622" i="14" l="1"/>
  <c r="F621" i="14"/>
  <c r="A621" i="14" s="1"/>
  <c r="J451" i="14"/>
  <c r="E451" i="14" s="1"/>
  <c r="G451" i="14" s="1"/>
  <c r="H450" i="14"/>
  <c r="I450" i="14" s="1"/>
  <c r="C450" i="14" s="1"/>
  <c r="B450" i="14"/>
  <c r="J452" i="14" l="1"/>
  <c r="E452" i="14" s="1"/>
  <c r="G452" i="14" s="1"/>
  <c r="H451" i="14"/>
  <c r="I451" i="14" s="1"/>
  <c r="C451" i="14" s="1"/>
  <c r="B451" i="14"/>
  <c r="D623" i="14"/>
  <c r="F622" i="14"/>
  <c r="A622" i="14" s="1"/>
  <c r="D624" i="14" l="1"/>
  <c r="F623" i="14"/>
  <c r="A623" i="14" s="1"/>
  <c r="J453" i="14"/>
  <c r="E453" i="14" s="1"/>
  <c r="G453" i="14" s="1"/>
  <c r="H452" i="14"/>
  <c r="I452" i="14" s="1"/>
  <c r="C452" i="14" s="1"/>
  <c r="B452" i="14"/>
  <c r="J454" i="14" l="1"/>
  <c r="E454" i="14" s="1"/>
  <c r="G454" i="14" s="1"/>
  <c r="H453" i="14"/>
  <c r="I453" i="14" s="1"/>
  <c r="C453" i="14" s="1"/>
  <c r="B453" i="14"/>
  <c r="D625" i="14"/>
  <c r="F624" i="14"/>
  <c r="A624" i="14" s="1"/>
  <c r="D626" i="14" l="1"/>
  <c r="F625" i="14"/>
  <c r="A625" i="14" s="1"/>
  <c r="J455" i="14"/>
  <c r="E455" i="14" s="1"/>
  <c r="G455" i="14" s="1"/>
  <c r="H454" i="14"/>
  <c r="I454" i="14" s="1"/>
  <c r="C454" i="14" s="1"/>
  <c r="B454" i="14"/>
  <c r="J456" i="14" l="1"/>
  <c r="E456" i="14" s="1"/>
  <c r="G456" i="14" s="1"/>
  <c r="H455" i="14"/>
  <c r="I455" i="14" s="1"/>
  <c r="C455" i="14" s="1"/>
  <c r="B455" i="14"/>
  <c r="D627" i="14"/>
  <c r="F626" i="14"/>
  <c r="A626" i="14" s="1"/>
  <c r="D628" i="14" l="1"/>
  <c r="F627" i="14"/>
  <c r="A627" i="14" s="1"/>
  <c r="J457" i="14"/>
  <c r="E457" i="14" s="1"/>
  <c r="G457" i="14" s="1"/>
  <c r="H456" i="14"/>
  <c r="I456" i="14" s="1"/>
  <c r="C456" i="14" s="1"/>
  <c r="B456" i="14"/>
  <c r="J458" i="14" l="1"/>
  <c r="E458" i="14" s="1"/>
  <c r="G458" i="14" s="1"/>
  <c r="H457" i="14"/>
  <c r="I457" i="14" s="1"/>
  <c r="C457" i="14" s="1"/>
  <c r="B457" i="14"/>
  <c r="D629" i="14"/>
  <c r="F628" i="14"/>
  <c r="A628" i="14" s="1"/>
  <c r="D630" i="14" l="1"/>
  <c r="F629" i="14"/>
  <c r="A629" i="14" s="1"/>
  <c r="J459" i="14"/>
  <c r="E459" i="14" s="1"/>
  <c r="G459" i="14" s="1"/>
  <c r="H458" i="14"/>
  <c r="I458" i="14" s="1"/>
  <c r="C458" i="14" s="1"/>
  <c r="B458" i="14"/>
  <c r="J460" i="14" l="1"/>
  <c r="E460" i="14" s="1"/>
  <c r="G460" i="14" s="1"/>
  <c r="H459" i="14"/>
  <c r="I459" i="14" s="1"/>
  <c r="C459" i="14" s="1"/>
  <c r="B459" i="14"/>
  <c r="D631" i="14"/>
  <c r="F630" i="14"/>
  <c r="A630" i="14" s="1"/>
  <c r="D632" i="14" l="1"/>
  <c r="F631" i="14"/>
  <c r="A631" i="14" s="1"/>
  <c r="J461" i="14"/>
  <c r="E461" i="14" s="1"/>
  <c r="G461" i="14" s="1"/>
  <c r="H460" i="14"/>
  <c r="I460" i="14" s="1"/>
  <c r="C460" i="14" s="1"/>
  <c r="B460" i="14"/>
  <c r="J462" i="14" l="1"/>
  <c r="E462" i="14" s="1"/>
  <c r="G462" i="14" s="1"/>
  <c r="H461" i="14"/>
  <c r="I461" i="14" s="1"/>
  <c r="C461" i="14" s="1"/>
  <c r="B461" i="14"/>
  <c r="D633" i="14"/>
  <c r="F632" i="14"/>
  <c r="A632" i="14" s="1"/>
  <c r="D634" i="14" l="1"/>
  <c r="F633" i="14"/>
  <c r="A633" i="14" s="1"/>
  <c r="J463" i="14"/>
  <c r="E463" i="14" s="1"/>
  <c r="G463" i="14" s="1"/>
  <c r="H462" i="14"/>
  <c r="I462" i="14" s="1"/>
  <c r="C462" i="14" s="1"/>
  <c r="B462" i="14"/>
  <c r="J464" i="14" l="1"/>
  <c r="E464" i="14" s="1"/>
  <c r="G464" i="14" s="1"/>
  <c r="H463" i="14"/>
  <c r="I463" i="14" s="1"/>
  <c r="C463" i="14" s="1"/>
  <c r="B463" i="14"/>
  <c r="D635" i="14"/>
  <c r="F634" i="14"/>
  <c r="A634" i="14" s="1"/>
  <c r="D636" i="14" l="1"/>
  <c r="F635" i="14"/>
  <c r="A635" i="14" s="1"/>
  <c r="J465" i="14"/>
  <c r="E465" i="14" s="1"/>
  <c r="G465" i="14" s="1"/>
  <c r="H464" i="14"/>
  <c r="I464" i="14" s="1"/>
  <c r="C464" i="14" s="1"/>
  <c r="B464" i="14"/>
  <c r="J466" i="14" l="1"/>
  <c r="E466" i="14" s="1"/>
  <c r="G466" i="14" s="1"/>
  <c r="H465" i="14"/>
  <c r="I465" i="14" s="1"/>
  <c r="C465" i="14" s="1"/>
  <c r="B465" i="14"/>
  <c r="D637" i="14"/>
  <c r="F636" i="14"/>
  <c r="A636" i="14" s="1"/>
  <c r="D638" i="14" l="1"/>
  <c r="F637" i="14"/>
  <c r="A637" i="14" s="1"/>
  <c r="J467" i="14"/>
  <c r="E467" i="14" s="1"/>
  <c r="G467" i="14" s="1"/>
  <c r="H466" i="14"/>
  <c r="I466" i="14" s="1"/>
  <c r="C466" i="14" s="1"/>
  <c r="B466" i="14"/>
  <c r="J468" i="14" l="1"/>
  <c r="E468" i="14" s="1"/>
  <c r="G468" i="14" s="1"/>
  <c r="H467" i="14"/>
  <c r="I467" i="14" s="1"/>
  <c r="C467" i="14" s="1"/>
  <c r="B467" i="14"/>
  <c r="D639" i="14"/>
  <c r="F638" i="14"/>
  <c r="A638" i="14" s="1"/>
  <c r="D640" i="14" l="1"/>
  <c r="F639" i="14"/>
  <c r="A639" i="14" s="1"/>
  <c r="J469" i="14"/>
  <c r="E469" i="14" s="1"/>
  <c r="G469" i="14" s="1"/>
  <c r="H468" i="14"/>
  <c r="I468" i="14" s="1"/>
  <c r="C468" i="14" s="1"/>
  <c r="B468" i="14"/>
  <c r="J470" i="14" l="1"/>
  <c r="E470" i="14" s="1"/>
  <c r="G470" i="14" s="1"/>
  <c r="H469" i="14"/>
  <c r="I469" i="14" s="1"/>
  <c r="C469" i="14" s="1"/>
  <c r="B469" i="14"/>
  <c r="D641" i="14"/>
  <c r="F640" i="14"/>
  <c r="A640" i="14" s="1"/>
  <c r="D642" i="14" l="1"/>
  <c r="F641" i="14"/>
  <c r="A641" i="14" s="1"/>
  <c r="J471" i="14"/>
  <c r="E471" i="14" s="1"/>
  <c r="G471" i="14" s="1"/>
  <c r="H470" i="14"/>
  <c r="I470" i="14" s="1"/>
  <c r="C470" i="14" s="1"/>
  <c r="B470" i="14"/>
  <c r="D643" i="14" l="1"/>
  <c r="F642" i="14"/>
  <c r="A642" i="14" s="1"/>
  <c r="J472" i="14"/>
  <c r="E472" i="14" s="1"/>
  <c r="G472" i="14" s="1"/>
  <c r="H471" i="14"/>
  <c r="I471" i="14" s="1"/>
  <c r="C471" i="14" s="1"/>
  <c r="B471" i="14"/>
  <c r="J473" i="14" l="1"/>
  <c r="E473" i="14" s="1"/>
  <c r="G473" i="14" s="1"/>
  <c r="H472" i="14"/>
  <c r="I472" i="14" s="1"/>
  <c r="C472" i="14" s="1"/>
  <c r="B472" i="14"/>
  <c r="D644" i="14"/>
  <c r="F643" i="14"/>
  <c r="A643" i="14" s="1"/>
  <c r="D645" i="14" l="1"/>
  <c r="F644" i="14"/>
  <c r="A644" i="14" s="1"/>
  <c r="J474" i="14"/>
  <c r="E474" i="14" s="1"/>
  <c r="G474" i="14" s="1"/>
  <c r="H473" i="14"/>
  <c r="I473" i="14" s="1"/>
  <c r="C473" i="14" s="1"/>
  <c r="B473" i="14"/>
  <c r="J475" i="14" l="1"/>
  <c r="E475" i="14" s="1"/>
  <c r="G475" i="14" s="1"/>
  <c r="H474" i="14"/>
  <c r="I474" i="14" s="1"/>
  <c r="C474" i="14" s="1"/>
  <c r="B474" i="14"/>
  <c r="D646" i="14"/>
  <c r="F645" i="14"/>
  <c r="A645" i="14" s="1"/>
  <c r="D647" i="14" l="1"/>
  <c r="F646" i="14"/>
  <c r="A646" i="14" s="1"/>
  <c r="J476" i="14"/>
  <c r="E476" i="14" s="1"/>
  <c r="G476" i="14" s="1"/>
  <c r="H475" i="14"/>
  <c r="I475" i="14" s="1"/>
  <c r="C475" i="14" s="1"/>
  <c r="B475" i="14"/>
  <c r="J477" i="14" l="1"/>
  <c r="E477" i="14" s="1"/>
  <c r="G477" i="14" s="1"/>
  <c r="H476" i="14"/>
  <c r="I476" i="14" s="1"/>
  <c r="C476" i="14" s="1"/>
  <c r="B476" i="14"/>
  <c r="D648" i="14"/>
  <c r="F647" i="14"/>
  <c r="A647" i="14" s="1"/>
  <c r="D649" i="14" l="1"/>
  <c r="F648" i="14"/>
  <c r="A648" i="14" s="1"/>
  <c r="J478" i="14"/>
  <c r="E478" i="14" s="1"/>
  <c r="G478" i="14" s="1"/>
  <c r="H477" i="14"/>
  <c r="I477" i="14" s="1"/>
  <c r="C477" i="14" s="1"/>
  <c r="B477" i="14"/>
  <c r="J479" i="14" l="1"/>
  <c r="E479" i="14" s="1"/>
  <c r="G479" i="14" s="1"/>
  <c r="H478" i="14"/>
  <c r="I478" i="14" s="1"/>
  <c r="C478" i="14" s="1"/>
  <c r="B478" i="14"/>
  <c r="D650" i="14"/>
  <c r="F649" i="14"/>
  <c r="A649" i="14" s="1"/>
  <c r="D651" i="14" l="1"/>
  <c r="F650" i="14"/>
  <c r="A650" i="14" s="1"/>
  <c r="J480" i="14"/>
  <c r="E480" i="14" s="1"/>
  <c r="G480" i="14" s="1"/>
  <c r="H479" i="14"/>
  <c r="I479" i="14" s="1"/>
  <c r="C479" i="14" s="1"/>
  <c r="B479" i="14"/>
  <c r="J481" i="14" l="1"/>
  <c r="E481" i="14" s="1"/>
  <c r="G481" i="14" s="1"/>
  <c r="H480" i="14"/>
  <c r="I480" i="14" s="1"/>
  <c r="C480" i="14" s="1"/>
  <c r="B480" i="14"/>
  <c r="D652" i="14"/>
  <c r="F651" i="14"/>
  <c r="A651" i="14" s="1"/>
  <c r="D653" i="14" l="1"/>
  <c r="F652" i="14"/>
  <c r="A652" i="14" s="1"/>
  <c r="J482" i="14"/>
  <c r="E482" i="14" s="1"/>
  <c r="G482" i="14" s="1"/>
  <c r="H481" i="14"/>
  <c r="I481" i="14" s="1"/>
  <c r="C481" i="14" s="1"/>
  <c r="B481" i="14"/>
  <c r="D654" i="14" l="1"/>
  <c r="F653" i="14"/>
  <c r="A653" i="14" s="1"/>
  <c r="J483" i="14"/>
  <c r="E483" i="14" s="1"/>
  <c r="G483" i="14" s="1"/>
  <c r="H482" i="14"/>
  <c r="I482" i="14" s="1"/>
  <c r="C482" i="14" s="1"/>
  <c r="B482" i="14"/>
  <c r="J484" i="14" l="1"/>
  <c r="E484" i="14" s="1"/>
  <c r="G484" i="14" s="1"/>
  <c r="H483" i="14"/>
  <c r="I483" i="14" s="1"/>
  <c r="C483" i="14" s="1"/>
  <c r="B483" i="14"/>
  <c r="D655" i="14"/>
  <c r="F654" i="14"/>
  <c r="A654" i="14" s="1"/>
  <c r="D656" i="14" l="1"/>
  <c r="F655" i="14"/>
  <c r="A655" i="14" s="1"/>
  <c r="J485" i="14"/>
  <c r="E485" i="14" s="1"/>
  <c r="G485" i="14" s="1"/>
  <c r="H484" i="14"/>
  <c r="I484" i="14" s="1"/>
  <c r="C484" i="14" s="1"/>
  <c r="B484" i="14"/>
  <c r="D657" i="14" l="1"/>
  <c r="F656" i="14"/>
  <c r="A656" i="14" s="1"/>
  <c r="J486" i="14"/>
  <c r="E486" i="14" s="1"/>
  <c r="G486" i="14" s="1"/>
  <c r="H485" i="14"/>
  <c r="I485" i="14" s="1"/>
  <c r="C485" i="14" s="1"/>
  <c r="B485" i="14"/>
  <c r="J487" i="14" l="1"/>
  <c r="E487" i="14" s="1"/>
  <c r="G487" i="14" s="1"/>
  <c r="H486" i="14"/>
  <c r="I486" i="14" s="1"/>
  <c r="C486" i="14" s="1"/>
  <c r="B486" i="14"/>
  <c r="D658" i="14"/>
  <c r="F657" i="14"/>
  <c r="A657" i="14" s="1"/>
  <c r="D659" i="14" l="1"/>
  <c r="F658" i="14"/>
  <c r="A658" i="14" s="1"/>
  <c r="J488" i="14"/>
  <c r="E488" i="14" s="1"/>
  <c r="G488" i="14" s="1"/>
  <c r="H487" i="14"/>
  <c r="I487" i="14" s="1"/>
  <c r="C487" i="14" s="1"/>
  <c r="B487" i="14"/>
  <c r="J489" i="14" l="1"/>
  <c r="E489" i="14" s="1"/>
  <c r="G489" i="14" s="1"/>
  <c r="H488" i="14"/>
  <c r="I488" i="14" s="1"/>
  <c r="C488" i="14" s="1"/>
  <c r="B488" i="14"/>
  <c r="D660" i="14"/>
  <c r="F659" i="14"/>
  <c r="A659" i="14" s="1"/>
  <c r="D661" i="14" l="1"/>
  <c r="F660" i="14"/>
  <c r="A660" i="14" s="1"/>
  <c r="J490" i="14"/>
  <c r="E490" i="14" s="1"/>
  <c r="G490" i="14" s="1"/>
  <c r="H489" i="14"/>
  <c r="I489" i="14" s="1"/>
  <c r="C489" i="14" s="1"/>
  <c r="B489" i="14"/>
  <c r="J491" i="14" l="1"/>
  <c r="E491" i="14" s="1"/>
  <c r="G491" i="14" s="1"/>
  <c r="H490" i="14"/>
  <c r="I490" i="14" s="1"/>
  <c r="C490" i="14" s="1"/>
  <c r="B490" i="14"/>
  <c r="D662" i="14"/>
  <c r="F661" i="14"/>
  <c r="A661" i="14" s="1"/>
  <c r="D663" i="14" l="1"/>
  <c r="F662" i="14"/>
  <c r="A662" i="14" s="1"/>
  <c r="J492" i="14"/>
  <c r="E492" i="14" s="1"/>
  <c r="G492" i="14" s="1"/>
  <c r="H491" i="14"/>
  <c r="I491" i="14" s="1"/>
  <c r="C491" i="14" s="1"/>
  <c r="B491" i="14"/>
  <c r="J493" i="14" l="1"/>
  <c r="E493" i="14" s="1"/>
  <c r="G493" i="14" s="1"/>
  <c r="H492" i="14"/>
  <c r="I492" i="14" s="1"/>
  <c r="C492" i="14" s="1"/>
  <c r="B492" i="14"/>
  <c r="D664" i="14"/>
  <c r="F663" i="14"/>
  <c r="A663" i="14" s="1"/>
  <c r="D665" i="14" l="1"/>
  <c r="F664" i="14"/>
  <c r="A664" i="14" s="1"/>
  <c r="J494" i="14"/>
  <c r="E494" i="14" s="1"/>
  <c r="G494" i="14" s="1"/>
  <c r="H493" i="14"/>
  <c r="I493" i="14" s="1"/>
  <c r="C493" i="14" s="1"/>
  <c r="B493" i="14"/>
  <c r="J495" i="14" l="1"/>
  <c r="E495" i="14" s="1"/>
  <c r="G495" i="14" s="1"/>
  <c r="H494" i="14"/>
  <c r="I494" i="14" s="1"/>
  <c r="C494" i="14" s="1"/>
  <c r="B494" i="14"/>
  <c r="D666" i="14"/>
  <c r="F665" i="14"/>
  <c r="A665" i="14" s="1"/>
  <c r="D667" i="14" l="1"/>
  <c r="F666" i="14"/>
  <c r="A666" i="14" s="1"/>
  <c r="J496" i="14"/>
  <c r="E496" i="14" s="1"/>
  <c r="G496" i="14" s="1"/>
  <c r="H495" i="14"/>
  <c r="I495" i="14" s="1"/>
  <c r="C495" i="14" s="1"/>
  <c r="B495" i="14"/>
  <c r="J497" i="14" l="1"/>
  <c r="E497" i="14" s="1"/>
  <c r="G497" i="14" s="1"/>
  <c r="H496" i="14"/>
  <c r="I496" i="14" s="1"/>
  <c r="C496" i="14" s="1"/>
  <c r="B496" i="14"/>
  <c r="D668" i="14"/>
  <c r="F667" i="14"/>
  <c r="A667" i="14" s="1"/>
  <c r="D669" i="14" l="1"/>
  <c r="F668" i="14"/>
  <c r="A668" i="14" s="1"/>
  <c r="J498" i="14"/>
  <c r="E498" i="14" s="1"/>
  <c r="G498" i="14" s="1"/>
  <c r="H497" i="14"/>
  <c r="I497" i="14" s="1"/>
  <c r="C497" i="14" s="1"/>
  <c r="B497" i="14"/>
  <c r="J499" i="14" l="1"/>
  <c r="E499" i="14" s="1"/>
  <c r="G499" i="14" s="1"/>
  <c r="H498" i="14"/>
  <c r="I498" i="14" s="1"/>
  <c r="C498" i="14" s="1"/>
  <c r="B498" i="14"/>
  <c r="D670" i="14"/>
  <c r="F669" i="14"/>
  <c r="A669" i="14" s="1"/>
  <c r="D671" i="14" l="1"/>
  <c r="F670" i="14"/>
  <c r="A670" i="14" s="1"/>
  <c r="J500" i="14"/>
  <c r="E500" i="14" s="1"/>
  <c r="G500" i="14" s="1"/>
  <c r="H499" i="14"/>
  <c r="I499" i="14" s="1"/>
  <c r="C499" i="14" s="1"/>
  <c r="B499" i="14"/>
  <c r="J501" i="14" l="1"/>
  <c r="E501" i="14" s="1"/>
  <c r="G501" i="14" s="1"/>
  <c r="H500" i="14"/>
  <c r="I500" i="14" s="1"/>
  <c r="C500" i="14" s="1"/>
  <c r="B500" i="14"/>
  <c r="D672" i="14"/>
  <c r="F671" i="14"/>
  <c r="A671" i="14" s="1"/>
  <c r="D673" i="14" l="1"/>
  <c r="F672" i="14"/>
  <c r="A672" i="14" s="1"/>
  <c r="J502" i="14"/>
  <c r="E502" i="14" s="1"/>
  <c r="G502" i="14" s="1"/>
  <c r="H501" i="14"/>
  <c r="I501" i="14" s="1"/>
  <c r="C501" i="14" s="1"/>
  <c r="B501" i="14"/>
  <c r="J503" i="14" l="1"/>
  <c r="E503" i="14" s="1"/>
  <c r="G503" i="14" s="1"/>
  <c r="H502" i="14"/>
  <c r="I502" i="14" s="1"/>
  <c r="C502" i="14" s="1"/>
  <c r="B502" i="14"/>
  <c r="D674" i="14"/>
  <c r="F673" i="14"/>
  <c r="A673" i="14" s="1"/>
  <c r="D675" i="14" l="1"/>
  <c r="F674" i="14"/>
  <c r="A674" i="14" s="1"/>
  <c r="J504" i="14"/>
  <c r="E504" i="14" s="1"/>
  <c r="G504" i="14" s="1"/>
  <c r="H503" i="14"/>
  <c r="I503" i="14" s="1"/>
  <c r="C503" i="14" s="1"/>
  <c r="B503" i="14"/>
  <c r="J505" i="14" l="1"/>
  <c r="E505" i="14" s="1"/>
  <c r="G505" i="14" s="1"/>
  <c r="H504" i="14"/>
  <c r="I504" i="14" s="1"/>
  <c r="C504" i="14" s="1"/>
  <c r="B504" i="14"/>
  <c r="D676" i="14"/>
  <c r="F675" i="14"/>
  <c r="A675" i="14" s="1"/>
  <c r="D677" i="14" l="1"/>
  <c r="F676" i="14"/>
  <c r="A676" i="14" s="1"/>
  <c r="J506" i="14"/>
  <c r="E506" i="14" s="1"/>
  <c r="G506" i="14" s="1"/>
  <c r="H505" i="14"/>
  <c r="I505" i="14" s="1"/>
  <c r="C505" i="14" s="1"/>
  <c r="B505" i="14"/>
  <c r="J507" i="14" l="1"/>
  <c r="E507" i="14" s="1"/>
  <c r="G507" i="14" s="1"/>
  <c r="H506" i="14"/>
  <c r="I506" i="14" s="1"/>
  <c r="C506" i="14" s="1"/>
  <c r="B506" i="14"/>
  <c r="D678" i="14"/>
  <c r="F677" i="14"/>
  <c r="A677" i="14" s="1"/>
  <c r="D679" i="14" l="1"/>
  <c r="F678" i="14"/>
  <c r="A678" i="14" s="1"/>
  <c r="J508" i="14"/>
  <c r="E508" i="14" s="1"/>
  <c r="G508" i="14" s="1"/>
  <c r="H507" i="14"/>
  <c r="I507" i="14" s="1"/>
  <c r="C507" i="14" s="1"/>
  <c r="B507" i="14"/>
  <c r="J509" i="14" l="1"/>
  <c r="E509" i="14" s="1"/>
  <c r="G509" i="14" s="1"/>
  <c r="H508" i="14"/>
  <c r="I508" i="14" s="1"/>
  <c r="C508" i="14" s="1"/>
  <c r="B508" i="14"/>
  <c r="D680" i="14"/>
  <c r="F679" i="14"/>
  <c r="A679" i="14" s="1"/>
  <c r="D681" i="14" l="1"/>
  <c r="F680" i="14"/>
  <c r="A680" i="14" s="1"/>
  <c r="J510" i="14"/>
  <c r="E510" i="14" s="1"/>
  <c r="G510" i="14" s="1"/>
  <c r="H509" i="14"/>
  <c r="I509" i="14" s="1"/>
  <c r="C509" i="14" s="1"/>
  <c r="B509" i="14"/>
  <c r="J511" i="14" l="1"/>
  <c r="E511" i="14" s="1"/>
  <c r="G511" i="14" s="1"/>
  <c r="H510" i="14"/>
  <c r="I510" i="14" s="1"/>
  <c r="C510" i="14" s="1"/>
  <c r="B510" i="14"/>
  <c r="D682" i="14"/>
  <c r="F681" i="14"/>
  <c r="A681" i="14" s="1"/>
  <c r="D683" i="14" l="1"/>
  <c r="F682" i="14"/>
  <c r="A682" i="14" s="1"/>
  <c r="J512" i="14"/>
  <c r="E512" i="14" s="1"/>
  <c r="G512" i="14" s="1"/>
  <c r="H511" i="14"/>
  <c r="I511" i="14" s="1"/>
  <c r="C511" i="14" s="1"/>
  <c r="B511" i="14"/>
  <c r="J513" i="14" l="1"/>
  <c r="E513" i="14" s="1"/>
  <c r="G513" i="14" s="1"/>
  <c r="H512" i="14"/>
  <c r="I512" i="14" s="1"/>
  <c r="C512" i="14" s="1"/>
  <c r="B512" i="14"/>
  <c r="D684" i="14"/>
  <c r="F683" i="14"/>
  <c r="A683" i="14" s="1"/>
  <c r="D685" i="14" l="1"/>
  <c r="F684" i="14"/>
  <c r="A684" i="14" s="1"/>
  <c r="J514" i="14"/>
  <c r="E514" i="14" s="1"/>
  <c r="G514" i="14" s="1"/>
  <c r="H513" i="14"/>
  <c r="I513" i="14" s="1"/>
  <c r="C513" i="14" s="1"/>
  <c r="B513" i="14"/>
  <c r="J515" i="14" l="1"/>
  <c r="E515" i="14" s="1"/>
  <c r="G515" i="14" s="1"/>
  <c r="H514" i="14"/>
  <c r="I514" i="14" s="1"/>
  <c r="C514" i="14" s="1"/>
  <c r="B514" i="14"/>
  <c r="D686" i="14"/>
  <c r="F685" i="14"/>
  <c r="A685" i="14" s="1"/>
  <c r="D687" i="14" l="1"/>
  <c r="F686" i="14"/>
  <c r="A686" i="14" s="1"/>
  <c r="J516" i="14"/>
  <c r="E516" i="14" s="1"/>
  <c r="G516" i="14" s="1"/>
  <c r="H515" i="14"/>
  <c r="I515" i="14" s="1"/>
  <c r="C515" i="14" s="1"/>
  <c r="B515" i="14"/>
  <c r="J517" i="14" l="1"/>
  <c r="E517" i="14" s="1"/>
  <c r="G517" i="14" s="1"/>
  <c r="H516" i="14"/>
  <c r="I516" i="14" s="1"/>
  <c r="C516" i="14" s="1"/>
  <c r="B516" i="14"/>
  <c r="D688" i="14"/>
  <c r="F687" i="14"/>
  <c r="A687" i="14" s="1"/>
  <c r="D689" i="14" l="1"/>
  <c r="F688" i="14"/>
  <c r="A688" i="14" s="1"/>
  <c r="J518" i="14"/>
  <c r="E518" i="14" s="1"/>
  <c r="G518" i="14" s="1"/>
  <c r="H517" i="14"/>
  <c r="I517" i="14" s="1"/>
  <c r="C517" i="14" s="1"/>
  <c r="B517" i="14"/>
  <c r="J519" i="14" l="1"/>
  <c r="E519" i="14" s="1"/>
  <c r="G519" i="14" s="1"/>
  <c r="H518" i="14"/>
  <c r="I518" i="14" s="1"/>
  <c r="C518" i="14" s="1"/>
  <c r="B518" i="14"/>
  <c r="D690" i="14"/>
  <c r="F689" i="14"/>
  <c r="A689" i="14" s="1"/>
  <c r="D691" i="14" l="1"/>
  <c r="F690" i="14"/>
  <c r="A690" i="14" s="1"/>
  <c r="J520" i="14"/>
  <c r="E520" i="14" s="1"/>
  <c r="G520" i="14" s="1"/>
  <c r="H519" i="14"/>
  <c r="I519" i="14" s="1"/>
  <c r="C519" i="14" s="1"/>
  <c r="B519" i="14"/>
  <c r="J521" i="14" l="1"/>
  <c r="E521" i="14" s="1"/>
  <c r="G521" i="14" s="1"/>
  <c r="H520" i="14"/>
  <c r="I520" i="14" s="1"/>
  <c r="C520" i="14" s="1"/>
  <c r="B520" i="14"/>
  <c r="D692" i="14"/>
  <c r="F691" i="14"/>
  <c r="A691" i="14" s="1"/>
  <c r="D693" i="14" l="1"/>
  <c r="F692" i="14"/>
  <c r="A692" i="14" s="1"/>
  <c r="J522" i="14"/>
  <c r="E522" i="14" s="1"/>
  <c r="G522" i="14" s="1"/>
  <c r="H521" i="14"/>
  <c r="I521" i="14" s="1"/>
  <c r="C521" i="14" s="1"/>
  <c r="B521" i="14"/>
  <c r="J523" i="14" l="1"/>
  <c r="E523" i="14" s="1"/>
  <c r="G523" i="14" s="1"/>
  <c r="H522" i="14"/>
  <c r="I522" i="14" s="1"/>
  <c r="C522" i="14" s="1"/>
  <c r="B522" i="14"/>
  <c r="D694" i="14"/>
  <c r="F693" i="14"/>
  <c r="A693" i="14" s="1"/>
  <c r="D695" i="14" l="1"/>
  <c r="F694" i="14"/>
  <c r="A694" i="14" s="1"/>
  <c r="J524" i="14"/>
  <c r="E524" i="14" s="1"/>
  <c r="G524" i="14" s="1"/>
  <c r="H523" i="14"/>
  <c r="I523" i="14" s="1"/>
  <c r="C523" i="14" s="1"/>
  <c r="B523" i="14"/>
  <c r="J525" i="14" l="1"/>
  <c r="E525" i="14" s="1"/>
  <c r="G525" i="14" s="1"/>
  <c r="H524" i="14"/>
  <c r="I524" i="14" s="1"/>
  <c r="C524" i="14" s="1"/>
  <c r="B524" i="14"/>
  <c r="D696" i="14"/>
  <c r="F695" i="14"/>
  <c r="A695" i="14" s="1"/>
  <c r="D697" i="14" l="1"/>
  <c r="F696" i="14"/>
  <c r="A696" i="14" s="1"/>
  <c r="J526" i="14"/>
  <c r="E526" i="14" s="1"/>
  <c r="G526" i="14" s="1"/>
  <c r="H525" i="14"/>
  <c r="I525" i="14" s="1"/>
  <c r="C525" i="14" s="1"/>
  <c r="B525" i="14"/>
  <c r="J527" i="14" l="1"/>
  <c r="E527" i="14" s="1"/>
  <c r="G527" i="14" s="1"/>
  <c r="H526" i="14"/>
  <c r="I526" i="14" s="1"/>
  <c r="C526" i="14" s="1"/>
  <c r="B526" i="14"/>
  <c r="D698" i="14"/>
  <c r="F697" i="14"/>
  <c r="A697" i="14" s="1"/>
  <c r="D699" i="14" l="1"/>
  <c r="F698" i="14"/>
  <c r="A698" i="14" s="1"/>
  <c r="J528" i="14"/>
  <c r="E528" i="14" s="1"/>
  <c r="G528" i="14" s="1"/>
  <c r="H527" i="14"/>
  <c r="I527" i="14" s="1"/>
  <c r="C527" i="14" s="1"/>
  <c r="B527" i="14"/>
  <c r="J529" i="14" l="1"/>
  <c r="E529" i="14" s="1"/>
  <c r="G529" i="14" s="1"/>
  <c r="H528" i="14"/>
  <c r="I528" i="14" s="1"/>
  <c r="C528" i="14" s="1"/>
  <c r="B528" i="14"/>
  <c r="D700" i="14"/>
  <c r="F699" i="14"/>
  <c r="A699" i="14" s="1"/>
  <c r="D701" i="14" l="1"/>
  <c r="F700" i="14"/>
  <c r="A700" i="14" s="1"/>
  <c r="J530" i="14"/>
  <c r="E530" i="14" s="1"/>
  <c r="G530" i="14" s="1"/>
  <c r="H529" i="14"/>
  <c r="I529" i="14" s="1"/>
  <c r="C529" i="14" s="1"/>
  <c r="B529" i="14"/>
  <c r="D702" i="14" l="1"/>
  <c r="F701" i="14"/>
  <c r="A701" i="14" s="1"/>
  <c r="J531" i="14"/>
  <c r="E531" i="14" s="1"/>
  <c r="G531" i="14" s="1"/>
  <c r="H530" i="14"/>
  <c r="I530" i="14" s="1"/>
  <c r="C530" i="14" s="1"/>
  <c r="B530" i="14"/>
  <c r="J532" i="14" l="1"/>
  <c r="E532" i="14" s="1"/>
  <c r="G532" i="14" s="1"/>
  <c r="H531" i="14"/>
  <c r="I531" i="14" s="1"/>
  <c r="C531" i="14" s="1"/>
  <c r="B531" i="14"/>
  <c r="D703" i="14"/>
  <c r="F702" i="14"/>
  <c r="A702" i="14" s="1"/>
  <c r="D704" i="14" l="1"/>
  <c r="F703" i="14"/>
  <c r="A703" i="14" s="1"/>
  <c r="J533" i="14"/>
  <c r="E533" i="14" s="1"/>
  <c r="G533" i="14" s="1"/>
  <c r="H532" i="14"/>
  <c r="I532" i="14" s="1"/>
  <c r="C532" i="14" s="1"/>
  <c r="B532" i="14"/>
  <c r="J534" i="14" l="1"/>
  <c r="E534" i="14" s="1"/>
  <c r="G534" i="14" s="1"/>
  <c r="H533" i="14"/>
  <c r="I533" i="14" s="1"/>
  <c r="C533" i="14" s="1"/>
  <c r="B533" i="14"/>
  <c r="D705" i="14"/>
  <c r="F704" i="14"/>
  <c r="A704" i="14" s="1"/>
  <c r="D706" i="14" l="1"/>
  <c r="F705" i="14"/>
  <c r="A705" i="14" s="1"/>
  <c r="J535" i="14"/>
  <c r="E535" i="14" s="1"/>
  <c r="G535" i="14" s="1"/>
  <c r="H534" i="14"/>
  <c r="I534" i="14" s="1"/>
  <c r="C534" i="14" s="1"/>
  <c r="B534" i="14"/>
  <c r="J536" i="14" l="1"/>
  <c r="E536" i="14" s="1"/>
  <c r="G536" i="14" s="1"/>
  <c r="H535" i="14"/>
  <c r="I535" i="14" s="1"/>
  <c r="C535" i="14" s="1"/>
  <c r="B535" i="14"/>
  <c r="D707" i="14"/>
  <c r="F706" i="14"/>
  <c r="A706" i="14" s="1"/>
  <c r="D708" i="14" l="1"/>
  <c r="F707" i="14"/>
  <c r="A707" i="14" s="1"/>
  <c r="J537" i="14"/>
  <c r="E537" i="14" s="1"/>
  <c r="G537" i="14" s="1"/>
  <c r="H536" i="14"/>
  <c r="I536" i="14" s="1"/>
  <c r="C536" i="14" s="1"/>
  <c r="B536" i="14"/>
  <c r="J538" i="14" l="1"/>
  <c r="E538" i="14" s="1"/>
  <c r="G538" i="14" s="1"/>
  <c r="H537" i="14"/>
  <c r="I537" i="14" s="1"/>
  <c r="C537" i="14" s="1"/>
  <c r="B537" i="14"/>
  <c r="D709" i="14"/>
  <c r="F708" i="14"/>
  <c r="A708" i="14" s="1"/>
  <c r="D710" i="14" l="1"/>
  <c r="F709" i="14"/>
  <c r="A709" i="14" s="1"/>
  <c r="J539" i="14"/>
  <c r="E539" i="14" s="1"/>
  <c r="G539" i="14" s="1"/>
  <c r="H538" i="14"/>
  <c r="I538" i="14" s="1"/>
  <c r="C538" i="14" s="1"/>
  <c r="B538" i="14"/>
  <c r="D711" i="14" l="1"/>
  <c r="F710" i="14"/>
  <c r="A710" i="14" s="1"/>
  <c r="J540" i="14"/>
  <c r="E540" i="14" s="1"/>
  <c r="G540" i="14" s="1"/>
  <c r="H539" i="14"/>
  <c r="I539" i="14" s="1"/>
  <c r="C539" i="14" s="1"/>
  <c r="B539" i="14"/>
  <c r="J541" i="14" l="1"/>
  <c r="E541" i="14" s="1"/>
  <c r="G541" i="14" s="1"/>
  <c r="H540" i="14"/>
  <c r="I540" i="14" s="1"/>
  <c r="C540" i="14" s="1"/>
  <c r="B540" i="14"/>
  <c r="D712" i="14"/>
  <c r="F711" i="14"/>
  <c r="A711" i="14" s="1"/>
  <c r="D713" i="14" l="1"/>
  <c r="F712" i="14"/>
  <c r="A712" i="14" s="1"/>
  <c r="J542" i="14"/>
  <c r="E542" i="14" s="1"/>
  <c r="G542" i="14" s="1"/>
  <c r="H541" i="14"/>
  <c r="I541" i="14" s="1"/>
  <c r="C541" i="14" s="1"/>
  <c r="B541" i="14"/>
  <c r="J543" i="14" l="1"/>
  <c r="E543" i="14" s="1"/>
  <c r="G543" i="14" s="1"/>
  <c r="H542" i="14"/>
  <c r="I542" i="14" s="1"/>
  <c r="C542" i="14" s="1"/>
  <c r="B542" i="14"/>
  <c r="D714" i="14"/>
  <c r="F713" i="14"/>
  <c r="A713" i="14" s="1"/>
  <c r="D715" i="14" l="1"/>
  <c r="F714" i="14"/>
  <c r="A714" i="14" s="1"/>
  <c r="J544" i="14"/>
  <c r="E544" i="14" s="1"/>
  <c r="G544" i="14" s="1"/>
  <c r="H543" i="14"/>
  <c r="I543" i="14" s="1"/>
  <c r="C543" i="14" s="1"/>
  <c r="B543" i="14"/>
  <c r="J545" i="14" l="1"/>
  <c r="E545" i="14" s="1"/>
  <c r="G545" i="14" s="1"/>
  <c r="H544" i="14"/>
  <c r="I544" i="14" s="1"/>
  <c r="C544" i="14" s="1"/>
  <c r="B544" i="14"/>
  <c r="D716" i="14"/>
  <c r="F715" i="14"/>
  <c r="A715" i="14" s="1"/>
  <c r="D717" i="14" l="1"/>
  <c r="F716" i="14"/>
  <c r="A716" i="14" s="1"/>
  <c r="J546" i="14"/>
  <c r="E546" i="14" s="1"/>
  <c r="G546" i="14" s="1"/>
  <c r="H545" i="14"/>
  <c r="I545" i="14" s="1"/>
  <c r="C545" i="14" s="1"/>
  <c r="B545" i="14"/>
  <c r="J547" i="14" l="1"/>
  <c r="E547" i="14" s="1"/>
  <c r="G547" i="14" s="1"/>
  <c r="H546" i="14"/>
  <c r="I546" i="14" s="1"/>
  <c r="C546" i="14" s="1"/>
  <c r="B546" i="14"/>
  <c r="D718" i="14"/>
  <c r="F717" i="14"/>
  <c r="A717" i="14" s="1"/>
  <c r="D719" i="14" l="1"/>
  <c r="F718" i="14"/>
  <c r="A718" i="14" s="1"/>
  <c r="J548" i="14"/>
  <c r="E548" i="14" s="1"/>
  <c r="G548" i="14" s="1"/>
  <c r="H547" i="14"/>
  <c r="I547" i="14" s="1"/>
  <c r="C547" i="14" s="1"/>
  <c r="B547" i="14"/>
  <c r="J549" i="14" l="1"/>
  <c r="E549" i="14" s="1"/>
  <c r="G549" i="14" s="1"/>
  <c r="H548" i="14"/>
  <c r="I548" i="14" s="1"/>
  <c r="C548" i="14" s="1"/>
  <c r="B548" i="14"/>
  <c r="D720" i="14"/>
  <c r="F719" i="14"/>
  <c r="A719" i="14" s="1"/>
  <c r="J550" i="14" l="1"/>
  <c r="E550" i="14" s="1"/>
  <c r="G550" i="14" s="1"/>
  <c r="H549" i="14"/>
  <c r="I549" i="14" s="1"/>
  <c r="C549" i="14" s="1"/>
  <c r="B549" i="14"/>
  <c r="D721" i="14"/>
  <c r="F720" i="14"/>
  <c r="A720" i="14" s="1"/>
  <c r="D722" i="14" l="1"/>
  <c r="F721" i="14"/>
  <c r="A721" i="14" s="1"/>
  <c r="J551" i="14"/>
  <c r="E551" i="14" s="1"/>
  <c r="G551" i="14" s="1"/>
  <c r="H550" i="14"/>
  <c r="I550" i="14" s="1"/>
  <c r="C550" i="14" s="1"/>
  <c r="B550" i="14"/>
  <c r="J552" i="14" l="1"/>
  <c r="E552" i="14" s="1"/>
  <c r="G552" i="14" s="1"/>
  <c r="H551" i="14"/>
  <c r="I551" i="14" s="1"/>
  <c r="C551" i="14" s="1"/>
  <c r="B551" i="14"/>
  <c r="D723" i="14"/>
  <c r="F722" i="14"/>
  <c r="A722" i="14" s="1"/>
  <c r="D724" i="14" l="1"/>
  <c r="F723" i="14"/>
  <c r="A723" i="14" s="1"/>
  <c r="J553" i="14"/>
  <c r="E553" i="14" s="1"/>
  <c r="G553" i="14" s="1"/>
  <c r="H552" i="14"/>
  <c r="I552" i="14" s="1"/>
  <c r="C552" i="14" s="1"/>
  <c r="B552" i="14"/>
  <c r="J554" i="14" l="1"/>
  <c r="E554" i="14" s="1"/>
  <c r="G554" i="14" s="1"/>
  <c r="H553" i="14"/>
  <c r="I553" i="14" s="1"/>
  <c r="C553" i="14" s="1"/>
  <c r="B553" i="14"/>
  <c r="D725" i="14"/>
  <c r="F724" i="14"/>
  <c r="A724" i="14" s="1"/>
  <c r="D726" i="14" l="1"/>
  <c r="F725" i="14"/>
  <c r="A725" i="14" s="1"/>
  <c r="J555" i="14"/>
  <c r="E555" i="14" s="1"/>
  <c r="G555" i="14" s="1"/>
  <c r="H554" i="14"/>
  <c r="I554" i="14" s="1"/>
  <c r="C554" i="14" s="1"/>
  <c r="B554" i="14"/>
  <c r="D727" i="14" l="1"/>
  <c r="F726" i="14"/>
  <c r="A726" i="14" s="1"/>
  <c r="J556" i="14"/>
  <c r="E556" i="14" s="1"/>
  <c r="G556" i="14" s="1"/>
  <c r="H555" i="14"/>
  <c r="I555" i="14" s="1"/>
  <c r="C555" i="14" s="1"/>
  <c r="B555" i="14"/>
  <c r="J557" i="14" l="1"/>
  <c r="E557" i="14" s="1"/>
  <c r="G557" i="14" s="1"/>
  <c r="H556" i="14"/>
  <c r="I556" i="14" s="1"/>
  <c r="C556" i="14" s="1"/>
  <c r="B556" i="14"/>
  <c r="D728" i="14"/>
  <c r="F727" i="14"/>
  <c r="A727" i="14" s="1"/>
  <c r="D729" i="14" l="1"/>
  <c r="F728" i="14"/>
  <c r="A728" i="14" s="1"/>
  <c r="J558" i="14"/>
  <c r="E558" i="14" s="1"/>
  <c r="G558" i="14" s="1"/>
  <c r="H557" i="14"/>
  <c r="I557" i="14" s="1"/>
  <c r="C557" i="14" s="1"/>
  <c r="B557" i="14"/>
  <c r="J559" i="14" l="1"/>
  <c r="E559" i="14" s="1"/>
  <c r="G559" i="14" s="1"/>
  <c r="H558" i="14"/>
  <c r="I558" i="14" s="1"/>
  <c r="C558" i="14" s="1"/>
  <c r="B558" i="14"/>
  <c r="D730" i="14"/>
  <c r="F729" i="14"/>
  <c r="A729" i="14" s="1"/>
  <c r="D731" i="14" l="1"/>
  <c r="F730" i="14"/>
  <c r="A730" i="14" s="1"/>
  <c r="J560" i="14"/>
  <c r="E560" i="14" s="1"/>
  <c r="G560" i="14" s="1"/>
  <c r="H559" i="14"/>
  <c r="I559" i="14" s="1"/>
  <c r="C559" i="14" s="1"/>
  <c r="B559" i="14"/>
  <c r="J561" i="14" l="1"/>
  <c r="E561" i="14" s="1"/>
  <c r="G561" i="14" s="1"/>
  <c r="H560" i="14"/>
  <c r="I560" i="14" s="1"/>
  <c r="C560" i="14" s="1"/>
  <c r="B560" i="14"/>
  <c r="D732" i="14"/>
  <c r="F731" i="14"/>
  <c r="A731" i="14" s="1"/>
  <c r="D733" i="14" l="1"/>
  <c r="F732" i="14"/>
  <c r="A732" i="14" s="1"/>
  <c r="J562" i="14"/>
  <c r="E562" i="14" s="1"/>
  <c r="G562" i="14" s="1"/>
  <c r="H561" i="14"/>
  <c r="I561" i="14" s="1"/>
  <c r="C561" i="14" s="1"/>
  <c r="B561" i="14"/>
  <c r="J563" i="14" l="1"/>
  <c r="E563" i="14" s="1"/>
  <c r="G563" i="14" s="1"/>
  <c r="H562" i="14"/>
  <c r="I562" i="14" s="1"/>
  <c r="C562" i="14" s="1"/>
  <c r="B562" i="14"/>
  <c r="D734" i="14"/>
  <c r="F733" i="14"/>
  <c r="A733" i="14" s="1"/>
  <c r="F734" i="14" l="1"/>
  <c r="A734" i="14" s="1"/>
  <c r="D735" i="14"/>
  <c r="J564" i="14"/>
  <c r="E564" i="14" s="1"/>
  <c r="G564" i="14" s="1"/>
  <c r="H563" i="14"/>
  <c r="I563" i="14" s="1"/>
  <c r="C563" i="14" s="1"/>
  <c r="B563" i="14"/>
  <c r="J565" i="14" l="1"/>
  <c r="E565" i="14" s="1"/>
  <c r="G565" i="14" s="1"/>
  <c r="H564" i="14"/>
  <c r="I564" i="14" s="1"/>
  <c r="C564" i="14" s="1"/>
  <c r="B564" i="14"/>
  <c r="D736" i="14"/>
  <c r="F735" i="14"/>
  <c r="A735" i="14" s="1"/>
  <c r="D737" i="14" l="1"/>
  <c r="F736" i="14"/>
  <c r="A736" i="14" s="1"/>
  <c r="J566" i="14"/>
  <c r="E566" i="14" s="1"/>
  <c r="G566" i="14" s="1"/>
  <c r="H565" i="14"/>
  <c r="I565" i="14" s="1"/>
  <c r="C565" i="14" s="1"/>
  <c r="B565" i="14"/>
  <c r="J567" i="14" l="1"/>
  <c r="E567" i="14" s="1"/>
  <c r="G567" i="14" s="1"/>
  <c r="H566" i="14"/>
  <c r="I566" i="14" s="1"/>
  <c r="C566" i="14" s="1"/>
  <c r="B566" i="14"/>
  <c r="D738" i="14"/>
  <c r="F737" i="14"/>
  <c r="A737" i="14" s="1"/>
  <c r="D739" i="14" l="1"/>
  <c r="F739" i="14" s="1"/>
  <c r="A739" i="14" s="1"/>
  <c r="F738" i="14"/>
  <c r="A738" i="14" s="1"/>
  <c r="J568" i="14"/>
  <c r="E568" i="14" s="1"/>
  <c r="G568" i="14" s="1"/>
  <c r="H567" i="14"/>
  <c r="I567" i="14" s="1"/>
  <c r="C567" i="14" s="1"/>
  <c r="B567" i="14"/>
  <c r="J569" i="14" l="1"/>
  <c r="E569" i="14" s="1"/>
  <c r="G569" i="14" s="1"/>
  <c r="H568" i="14"/>
  <c r="I568" i="14" s="1"/>
  <c r="C568" i="14" s="1"/>
  <c r="B568" i="14"/>
  <c r="E7" i="14"/>
  <c r="J570" i="14" l="1"/>
  <c r="E570" i="14" s="1"/>
  <c r="G570" i="14" s="1"/>
  <c r="H569" i="14"/>
  <c r="I569" i="14" s="1"/>
  <c r="C569" i="14" s="1"/>
  <c r="B569" i="14"/>
  <c r="J571" i="14" l="1"/>
  <c r="E571" i="14" s="1"/>
  <c r="G571" i="14" s="1"/>
  <c r="H570" i="14"/>
  <c r="I570" i="14" s="1"/>
  <c r="C570" i="14" s="1"/>
  <c r="B570" i="14"/>
  <c r="J572" i="14" l="1"/>
  <c r="E572" i="14" s="1"/>
  <c r="G572" i="14" s="1"/>
  <c r="H571" i="14"/>
  <c r="I571" i="14" s="1"/>
  <c r="C571" i="14" s="1"/>
  <c r="B571" i="14"/>
  <c r="J573" i="14" l="1"/>
  <c r="E573" i="14" s="1"/>
  <c r="G573" i="14" s="1"/>
  <c r="H572" i="14"/>
  <c r="I572" i="14" s="1"/>
  <c r="C572" i="14" s="1"/>
  <c r="B572" i="14"/>
  <c r="J574" i="14" l="1"/>
  <c r="E574" i="14" s="1"/>
  <c r="G574" i="14" s="1"/>
  <c r="H573" i="14"/>
  <c r="I573" i="14" s="1"/>
  <c r="C573" i="14" s="1"/>
  <c r="B573" i="14"/>
  <c r="J575" i="14" l="1"/>
  <c r="E575" i="14" s="1"/>
  <c r="G575" i="14" s="1"/>
  <c r="H574" i="14"/>
  <c r="I574" i="14" s="1"/>
  <c r="C574" i="14" s="1"/>
  <c r="B574" i="14"/>
  <c r="J576" i="14" l="1"/>
  <c r="E576" i="14" s="1"/>
  <c r="G576" i="14" s="1"/>
  <c r="H575" i="14"/>
  <c r="I575" i="14" s="1"/>
  <c r="C575" i="14" s="1"/>
  <c r="B575" i="14"/>
  <c r="J577" i="14" l="1"/>
  <c r="E577" i="14" s="1"/>
  <c r="G577" i="14" s="1"/>
  <c r="H576" i="14"/>
  <c r="I576" i="14" s="1"/>
  <c r="C576" i="14" s="1"/>
  <c r="B576" i="14"/>
  <c r="J578" i="14" l="1"/>
  <c r="E578" i="14" s="1"/>
  <c r="G578" i="14" s="1"/>
  <c r="H577" i="14"/>
  <c r="I577" i="14" s="1"/>
  <c r="C577" i="14" s="1"/>
  <c r="B577" i="14"/>
  <c r="J579" i="14" l="1"/>
  <c r="E579" i="14" s="1"/>
  <c r="G579" i="14" s="1"/>
  <c r="H578" i="14"/>
  <c r="I578" i="14" s="1"/>
  <c r="C578" i="14" s="1"/>
  <c r="B578" i="14"/>
  <c r="J580" i="14" l="1"/>
  <c r="E580" i="14" s="1"/>
  <c r="G580" i="14" s="1"/>
  <c r="H579" i="14"/>
  <c r="I579" i="14" s="1"/>
  <c r="C579" i="14" s="1"/>
  <c r="B579" i="14"/>
  <c r="J581" i="14" l="1"/>
  <c r="E581" i="14" s="1"/>
  <c r="G581" i="14" s="1"/>
  <c r="H580" i="14"/>
  <c r="I580" i="14" s="1"/>
  <c r="C580" i="14" s="1"/>
  <c r="B580" i="14"/>
  <c r="J582" i="14" l="1"/>
  <c r="E582" i="14" s="1"/>
  <c r="G582" i="14" s="1"/>
  <c r="H581" i="14"/>
  <c r="I581" i="14" s="1"/>
  <c r="C581" i="14" s="1"/>
  <c r="B581" i="14"/>
  <c r="J583" i="14" l="1"/>
  <c r="E583" i="14" s="1"/>
  <c r="G583" i="14" s="1"/>
  <c r="H582" i="14"/>
  <c r="I582" i="14" s="1"/>
  <c r="C582" i="14" s="1"/>
  <c r="B582" i="14"/>
  <c r="J584" i="14" l="1"/>
  <c r="E584" i="14" s="1"/>
  <c r="G584" i="14" s="1"/>
  <c r="H583" i="14"/>
  <c r="I583" i="14" s="1"/>
  <c r="C583" i="14" s="1"/>
  <c r="B583" i="14"/>
  <c r="J585" i="14" l="1"/>
  <c r="E585" i="14" s="1"/>
  <c r="G585" i="14" s="1"/>
  <c r="H584" i="14"/>
  <c r="I584" i="14" s="1"/>
  <c r="C584" i="14" s="1"/>
  <c r="B584" i="14"/>
  <c r="J586" i="14" l="1"/>
  <c r="E586" i="14" s="1"/>
  <c r="G586" i="14" s="1"/>
  <c r="H585" i="14"/>
  <c r="I585" i="14" s="1"/>
  <c r="C585" i="14" s="1"/>
  <c r="B585" i="14"/>
  <c r="J587" i="14" l="1"/>
  <c r="E587" i="14" s="1"/>
  <c r="G587" i="14" s="1"/>
  <c r="H586" i="14"/>
  <c r="I586" i="14" s="1"/>
  <c r="C586" i="14" s="1"/>
  <c r="B586" i="14"/>
  <c r="J588" i="14" l="1"/>
  <c r="E588" i="14" s="1"/>
  <c r="G588" i="14" s="1"/>
  <c r="H587" i="14"/>
  <c r="I587" i="14" s="1"/>
  <c r="C587" i="14" s="1"/>
  <c r="B587" i="14"/>
  <c r="J589" i="14" l="1"/>
  <c r="E589" i="14" s="1"/>
  <c r="G589" i="14" s="1"/>
  <c r="H588" i="14"/>
  <c r="I588" i="14" s="1"/>
  <c r="C588" i="14" s="1"/>
  <c r="B588" i="14"/>
  <c r="J590" i="14" l="1"/>
  <c r="E590" i="14" s="1"/>
  <c r="G590" i="14" s="1"/>
  <c r="H589" i="14"/>
  <c r="I589" i="14" s="1"/>
  <c r="C589" i="14" s="1"/>
  <c r="B589" i="14"/>
  <c r="J591" i="14" l="1"/>
  <c r="E591" i="14" s="1"/>
  <c r="G591" i="14" s="1"/>
  <c r="H590" i="14"/>
  <c r="I590" i="14" s="1"/>
  <c r="C590" i="14" s="1"/>
  <c r="B590" i="14"/>
  <c r="J592" i="14" l="1"/>
  <c r="E592" i="14" s="1"/>
  <c r="G592" i="14" s="1"/>
  <c r="H591" i="14"/>
  <c r="I591" i="14" s="1"/>
  <c r="C591" i="14" s="1"/>
  <c r="B591" i="14"/>
  <c r="J593" i="14" l="1"/>
  <c r="E593" i="14" s="1"/>
  <c r="G593" i="14" s="1"/>
  <c r="H592" i="14"/>
  <c r="I592" i="14" s="1"/>
  <c r="C592" i="14" s="1"/>
  <c r="B592" i="14"/>
  <c r="J594" i="14" l="1"/>
  <c r="E594" i="14" s="1"/>
  <c r="G594" i="14" s="1"/>
  <c r="H593" i="14"/>
  <c r="I593" i="14" s="1"/>
  <c r="C593" i="14" s="1"/>
  <c r="B593" i="14"/>
  <c r="J595" i="14" l="1"/>
  <c r="E595" i="14" s="1"/>
  <c r="G595" i="14" s="1"/>
  <c r="H594" i="14"/>
  <c r="I594" i="14" s="1"/>
  <c r="C594" i="14" s="1"/>
  <c r="B594" i="14"/>
  <c r="J596" i="14" l="1"/>
  <c r="E596" i="14" s="1"/>
  <c r="G596" i="14" s="1"/>
  <c r="H595" i="14"/>
  <c r="I595" i="14" s="1"/>
  <c r="C595" i="14" s="1"/>
  <c r="B595" i="14"/>
  <c r="J597" i="14" l="1"/>
  <c r="E597" i="14" s="1"/>
  <c r="G597" i="14" s="1"/>
  <c r="H596" i="14"/>
  <c r="I596" i="14" s="1"/>
  <c r="C596" i="14" s="1"/>
  <c r="B596" i="14"/>
  <c r="J598" i="14" l="1"/>
  <c r="E598" i="14" s="1"/>
  <c r="G598" i="14" s="1"/>
  <c r="H597" i="14"/>
  <c r="I597" i="14" s="1"/>
  <c r="C597" i="14" s="1"/>
  <c r="B597" i="14"/>
  <c r="J599" i="14" l="1"/>
  <c r="E599" i="14" s="1"/>
  <c r="G599" i="14" s="1"/>
  <c r="H598" i="14"/>
  <c r="I598" i="14" s="1"/>
  <c r="C598" i="14" s="1"/>
  <c r="B598" i="14"/>
  <c r="J600" i="14" l="1"/>
  <c r="E600" i="14" s="1"/>
  <c r="G600" i="14" s="1"/>
  <c r="H599" i="14"/>
  <c r="I599" i="14" s="1"/>
  <c r="C599" i="14" s="1"/>
  <c r="B599" i="14"/>
  <c r="J601" i="14" l="1"/>
  <c r="E601" i="14" s="1"/>
  <c r="G601" i="14" s="1"/>
  <c r="H600" i="14"/>
  <c r="I600" i="14" s="1"/>
  <c r="C600" i="14" s="1"/>
  <c r="B600" i="14"/>
  <c r="J602" i="14" l="1"/>
  <c r="E602" i="14" s="1"/>
  <c r="G602" i="14" s="1"/>
  <c r="H601" i="14"/>
  <c r="I601" i="14" s="1"/>
  <c r="C601" i="14" s="1"/>
  <c r="B601" i="14"/>
  <c r="J603" i="14" l="1"/>
  <c r="E603" i="14" s="1"/>
  <c r="G603" i="14" s="1"/>
  <c r="H602" i="14"/>
  <c r="I602" i="14" s="1"/>
  <c r="C602" i="14" s="1"/>
  <c r="B602" i="14"/>
  <c r="J604" i="14" l="1"/>
  <c r="E604" i="14" s="1"/>
  <c r="G604" i="14" s="1"/>
  <c r="H603" i="14"/>
  <c r="I603" i="14" s="1"/>
  <c r="C603" i="14" s="1"/>
  <c r="B603" i="14"/>
  <c r="J605" i="14" l="1"/>
  <c r="E605" i="14" s="1"/>
  <c r="G605" i="14" s="1"/>
  <c r="H604" i="14"/>
  <c r="I604" i="14" s="1"/>
  <c r="C604" i="14" s="1"/>
  <c r="B604" i="14"/>
  <c r="J606" i="14" l="1"/>
  <c r="E606" i="14" s="1"/>
  <c r="G606" i="14" s="1"/>
  <c r="H605" i="14"/>
  <c r="I605" i="14" s="1"/>
  <c r="C605" i="14" s="1"/>
  <c r="B605" i="14"/>
  <c r="J607" i="14" l="1"/>
  <c r="E607" i="14" s="1"/>
  <c r="G607" i="14" s="1"/>
  <c r="H606" i="14"/>
  <c r="I606" i="14" s="1"/>
  <c r="C606" i="14" s="1"/>
  <c r="B606" i="14"/>
  <c r="J608" i="14" l="1"/>
  <c r="E608" i="14" s="1"/>
  <c r="G608" i="14" s="1"/>
  <c r="H607" i="14"/>
  <c r="I607" i="14" s="1"/>
  <c r="C607" i="14" s="1"/>
  <c r="B607" i="14"/>
  <c r="J609" i="14" l="1"/>
  <c r="E609" i="14" s="1"/>
  <c r="G609" i="14" s="1"/>
  <c r="H608" i="14"/>
  <c r="I608" i="14" s="1"/>
  <c r="C608" i="14" s="1"/>
  <c r="B608" i="14"/>
  <c r="J610" i="14" l="1"/>
  <c r="E610" i="14" s="1"/>
  <c r="G610" i="14" s="1"/>
  <c r="H609" i="14"/>
  <c r="I609" i="14" s="1"/>
  <c r="C609" i="14" s="1"/>
  <c r="B609" i="14"/>
  <c r="J611" i="14" l="1"/>
  <c r="E611" i="14" s="1"/>
  <c r="G611" i="14" s="1"/>
  <c r="H610" i="14"/>
  <c r="I610" i="14" s="1"/>
  <c r="C610" i="14" s="1"/>
  <c r="B610" i="14"/>
  <c r="J612" i="14" l="1"/>
  <c r="E612" i="14" s="1"/>
  <c r="G612" i="14" s="1"/>
  <c r="H611" i="14"/>
  <c r="I611" i="14" s="1"/>
  <c r="C611" i="14" s="1"/>
  <c r="B611" i="14"/>
  <c r="J613" i="14" l="1"/>
  <c r="E613" i="14" s="1"/>
  <c r="G613" i="14" s="1"/>
  <c r="B613" i="14" s="1"/>
  <c r="H612" i="14"/>
  <c r="I612" i="14" s="1"/>
  <c r="C612" i="14" s="1"/>
  <c r="B612" i="14"/>
  <c r="J614" i="14" l="1"/>
  <c r="E614" i="14" s="1"/>
  <c r="G614" i="14" s="1"/>
  <c r="B614" i="14" s="1"/>
  <c r="H613" i="14"/>
  <c r="I613" i="14" s="1"/>
  <c r="C613" i="14" s="1"/>
  <c r="J615" i="14" l="1"/>
  <c r="E615" i="14" s="1"/>
  <c r="G615" i="14" s="1"/>
  <c r="B615" i="14" s="1"/>
  <c r="H614" i="14"/>
  <c r="I614" i="14" s="1"/>
  <c r="C614" i="14" s="1"/>
  <c r="J616" i="14" l="1"/>
  <c r="E616" i="14" s="1"/>
  <c r="G616" i="14" s="1"/>
  <c r="B616" i="14" s="1"/>
  <c r="H615" i="14"/>
  <c r="I615" i="14" s="1"/>
  <c r="C615" i="14" s="1"/>
  <c r="J617" i="14" l="1"/>
  <c r="E617" i="14" s="1"/>
  <c r="G617" i="14" s="1"/>
  <c r="B617" i="14" s="1"/>
  <c r="H616" i="14"/>
  <c r="I616" i="14" s="1"/>
  <c r="C616" i="14" s="1"/>
  <c r="J618" i="14" l="1"/>
  <c r="E618" i="14" s="1"/>
  <c r="G618" i="14" s="1"/>
  <c r="B618" i="14" s="1"/>
  <c r="H617" i="14"/>
  <c r="I617" i="14" s="1"/>
  <c r="C617" i="14" s="1"/>
  <c r="J619" i="14" l="1"/>
  <c r="E619" i="14" s="1"/>
  <c r="G619" i="14" s="1"/>
  <c r="B619" i="14" s="1"/>
  <c r="H618" i="14"/>
  <c r="I618" i="14" s="1"/>
  <c r="C618" i="14" s="1"/>
  <c r="J620" i="14" l="1"/>
  <c r="E620" i="14" s="1"/>
  <c r="G620" i="14" s="1"/>
  <c r="B620" i="14" s="1"/>
  <c r="H619" i="14"/>
  <c r="I619" i="14" s="1"/>
  <c r="C619" i="14" s="1"/>
  <c r="J621" i="14" l="1"/>
  <c r="E621" i="14" s="1"/>
  <c r="G621" i="14" s="1"/>
  <c r="B621" i="14" s="1"/>
  <c r="H620" i="14"/>
  <c r="I620" i="14" s="1"/>
  <c r="C620" i="14" s="1"/>
  <c r="J622" i="14" l="1"/>
  <c r="E622" i="14" s="1"/>
  <c r="G622" i="14" s="1"/>
  <c r="B622" i="14" s="1"/>
  <c r="H621" i="14"/>
  <c r="I621" i="14" s="1"/>
  <c r="C621" i="14" s="1"/>
  <c r="J623" i="14" l="1"/>
  <c r="E623" i="14" s="1"/>
  <c r="G623" i="14" s="1"/>
  <c r="B623" i="14" s="1"/>
  <c r="H622" i="14"/>
  <c r="I622" i="14" s="1"/>
  <c r="C622" i="14" s="1"/>
  <c r="J624" i="14" l="1"/>
  <c r="E624" i="14" s="1"/>
  <c r="G624" i="14" s="1"/>
  <c r="B624" i="14" s="1"/>
  <c r="H623" i="14"/>
  <c r="I623" i="14" s="1"/>
  <c r="C623" i="14" s="1"/>
  <c r="J625" i="14" l="1"/>
  <c r="E625" i="14" s="1"/>
  <c r="G625" i="14" s="1"/>
  <c r="B625" i="14" s="1"/>
  <c r="H624" i="14"/>
  <c r="I624" i="14" s="1"/>
  <c r="C624" i="14" s="1"/>
  <c r="J626" i="14" l="1"/>
  <c r="E626" i="14" s="1"/>
  <c r="G626" i="14" s="1"/>
  <c r="B626" i="14" s="1"/>
  <c r="H625" i="14"/>
  <c r="I625" i="14" s="1"/>
  <c r="C625" i="14" s="1"/>
  <c r="J627" i="14" l="1"/>
  <c r="E627" i="14" s="1"/>
  <c r="G627" i="14" s="1"/>
  <c r="B627" i="14" s="1"/>
  <c r="H626" i="14"/>
  <c r="I626" i="14" s="1"/>
  <c r="C626" i="14" s="1"/>
  <c r="J628" i="14" l="1"/>
  <c r="E628" i="14" s="1"/>
  <c r="G628" i="14" s="1"/>
  <c r="B628" i="14" s="1"/>
  <c r="H627" i="14"/>
  <c r="I627" i="14" s="1"/>
  <c r="C627" i="14" s="1"/>
  <c r="J629" i="14" l="1"/>
  <c r="E629" i="14" s="1"/>
  <c r="G629" i="14" s="1"/>
  <c r="B629" i="14" s="1"/>
  <c r="H628" i="14"/>
  <c r="I628" i="14" s="1"/>
  <c r="C628" i="14" s="1"/>
  <c r="J630" i="14" l="1"/>
  <c r="E630" i="14" s="1"/>
  <c r="G630" i="14" s="1"/>
  <c r="B630" i="14" s="1"/>
  <c r="H629" i="14"/>
  <c r="I629" i="14" s="1"/>
  <c r="C629" i="14" s="1"/>
  <c r="J631" i="14" l="1"/>
  <c r="E631" i="14" s="1"/>
  <c r="G631" i="14" s="1"/>
  <c r="B631" i="14" s="1"/>
  <c r="H630" i="14"/>
  <c r="I630" i="14" s="1"/>
  <c r="C630" i="14" s="1"/>
  <c r="J632" i="14" l="1"/>
  <c r="E632" i="14" s="1"/>
  <c r="G632" i="14" s="1"/>
  <c r="B632" i="14" s="1"/>
  <c r="H631" i="14"/>
  <c r="I631" i="14" s="1"/>
  <c r="C631" i="14" s="1"/>
  <c r="J633" i="14" l="1"/>
  <c r="E633" i="14" s="1"/>
  <c r="G633" i="14" s="1"/>
  <c r="B633" i="14" s="1"/>
  <c r="H632" i="14"/>
  <c r="I632" i="14" s="1"/>
  <c r="C632" i="14" s="1"/>
  <c r="J634" i="14" l="1"/>
  <c r="E634" i="14" s="1"/>
  <c r="G634" i="14" s="1"/>
  <c r="B634" i="14" s="1"/>
  <c r="H633" i="14"/>
  <c r="I633" i="14" s="1"/>
  <c r="C633" i="14" s="1"/>
  <c r="J635" i="14" l="1"/>
  <c r="E635" i="14" s="1"/>
  <c r="G635" i="14" s="1"/>
  <c r="B635" i="14" s="1"/>
  <c r="H634" i="14"/>
  <c r="I634" i="14" s="1"/>
  <c r="C634" i="14" s="1"/>
  <c r="J636" i="14" l="1"/>
  <c r="E636" i="14" s="1"/>
  <c r="G636" i="14" s="1"/>
  <c r="B636" i="14" s="1"/>
  <c r="H635" i="14"/>
  <c r="I635" i="14" s="1"/>
  <c r="C635" i="14" s="1"/>
  <c r="J637" i="14" l="1"/>
  <c r="E637" i="14" s="1"/>
  <c r="G637" i="14" s="1"/>
  <c r="B637" i="14" s="1"/>
  <c r="H636" i="14"/>
  <c r="I636" i="14" s="1"/>
  <c r="C636" i="14" s="1"/>
  <c r="J638" i="14" l="1"/>
  <c r="E638" i="14" s="1"/>
  <c r="G638" i="14" s="1"/>
  <c r="B638" i="14" s="1"/>
  <c r="H637" i="14"/>
  <c r="I637" i="14" s="1"/>
  <c r="C637" i="14" s="1"/>
  <c r="J639" i="14" l="1"/>
  <c r="E639" i="14" s="1"/>
  <c r="G639" i="14" s="1"/>
  <c r="B639" i="14" s="1"/>
  <c r="H638" i="14"/>
  <c r="I638" i="14" s="1"/>
  <c r="C638" i="14" s="1"/>
  <c r="J640" i="14" l="1"/>
  <c r="E640" i="14" s="1"/>
  <c r="G640" i="14" s="1"/>
  <c r="B640" i="14" s="1"/>
  <c r="H639" i="14"/>
  <c r="I639" i="14" s="1"/>
  <c r="C639" i="14" s="1"/>
  <c r="J641" i="14" l="1"/>
  <c r="E641" i="14" s="1"/>
  <c r="G641" i="14" s="1"/>
  <c r="B641" i="14" s="1"/>
  <c r="H640" i="14"/>
  <c r="I640" i="14" s="1"/>
  <c r="C640" i="14" s="1"/>
  <c r="J642" i="14" l="1"/>
  <c r="E642" i="14" s="1"/>
  <c r="G642" i="14" s="1"/>
  <c r="B642" i="14" s="1"/>
  <c r="H641" i="14"/>
  <c r="I641" i="14" s="1"/>
  <c r="C641" i="14" s="1"/>
  <c r="J643" i="14" l="1"/>
  <c r="E643" i="14" s="1"/>
  <c r="G643" i="14" s="1"/>
  <c r="B643" i="14" s="1"/>
  <c r="H642" i="14"/>
  <c r="I642" i="14" s="1"/>
  <c r="C642" i="14" s="1"/>
  <c r="J644" i="14" l="1"/>
  <c r="E644" i="14" s="1"/>
  <c r="G644" i="14" s="1"/>
  <c r="B644" i="14" s="1"/>
  <c r="H643" i="14"/>
  <c r="I643" i="14" s="1"/>
  <c r="C643" i="14" s="1"/>
  <c r="J645" i="14" l="1"/>
  <c r="E645" i="14" s="1"/>
  <c r="G645" i="14" s="1"/>
  <c r="B645" i="14" s="1"/>
  <c r="H644" i="14"/>
  <c r="I644" i="14" s="1"/>
  <c r="C644" i="14" s="1"/>
  <c r="J646" i="14" l="1"/>
  <c r="E646" i="14" s="1"/>
  <c r="G646" i="14" s="1"/>
  <c r="B646" i="14" s="1"/>
  <c r="H645" i="14"/>
  <c r="I645" i="14" s="1"/>
  <c r="C645" i="14" s="1"/>
  <c r="J647" i="14" l="1"/>
  <c r="E647" i="14" s="1"/>
  <c r="G647" i="14" s="1"/>
  <c r="B647" i="14" s="1"/>
  <c r="H646" i="14"/>
  <c r="I646" i="14" s="1"/>
  <c r="C646" i="14" s="1"/>
  <c r="J648" i="14" l="1"/>
  <c r="E648" i="14" s="1"/>
  <c r="G648" i="14" s="1"/>
  <c r="B648" i="14" s="1"/>
  <c r="H647" i="14"/>
  <c r="I647" i="14" s="1"/>
  <c r="C647" i="14" s="1"/>
  <c r="J649" i="14" l="1"/>
  <c r="E649" i="14" s="1"/>
  <c r="G649" i="14" s="1"/>
  <c r="B649" i="14" s="1"/>
  <c r="H648" i="14"/>
  <c r="I648" i="14" s="1"/>
  <c r="C648" i="14" s="1"/>
  <c r="J650" i="14" l="1"/>
  <c r="E650" i="14" s="1"/>
  <c r="G650" i="14" s="1"/>
  <c r="B650" i="14" s="1"/>
  <c r="H649" i="14"/>
  <c r="I649" i="14" s="1"/>
  <c r="C649" i="14" s="1"/>
  <c r="J651" i="14" l="1"/>
  <c r="E651" i="14" s="1"/>
  <c r="G651" i="14" s="1"/>
  <c r="B651" i="14" s="1"/>
  <c r="H650" i="14"/>
  <c r="I650" i="14" s="1"/>
  <c r="C650" i="14" s="1"/>
  <c r="J652" i="14" l="1"/>
  <c r="E652" i="14" s="1"/>
  <c r="G652" i="14" s="1"/>
  <c r="B652" i="14" s="1"/>
  <c r="H651" i="14"/>
  <c r="I651" i="14" s="1"/>
  <c r="C651" i="14" s="1"/>
  <c r="J653" i="14" l="1"/>
  <c r="E653" i="14" s="1"/>
  <c r="G653" i="14" s="1"/>
  <c r="B653" i="14" s="1"/>
  <c r="H652" i="14"/>
  <c r="I652" i="14" s="1"/>
  <c r="C652" i="14" s="1"/>
  <c r="J654" i="14" l="1"/>
  <c r="E654" i="14" s="1"/>
  <c r="G654" i="14" s="1"/>
  <c r="B654" i="14" s="1"/>
  <c r="H653" i="14"/>
  <c r="I653" i="14" s="1"/>
  <c r="C653" i="14" s="1"/>
  <c r="J655" i="14" l="1"/>
  <c r="E655" i="14" s="1"/>
  <c r="G655" i="14" s="1"/>
  <c r="B655" i="14" s="1"/>
  <c r="H654" i="14"/>
  <c r="I654" i="14" s="1"/>
  <c r="C654" i="14" s="1"/>
  <c r="J656" i="14" l="1"/>
  <c r="E656" i="14" s="1"/>
  <c r="G656" i="14" s="1"/>
  <c r="B656" i="14" s="1"/>
  <c r="H655" i="14"/>
  <c r="I655" i="14" s="1"/>
  <c r="C655" i="14" s="1"/>
  <c r="J657" i="14" l="1"/>
  <c r="E657" i="14" s="1"/>
  <c r="G657" i="14" s="1"/>
  <c r="B657" i="14" s="1"/>
  <c r="H656" i="14"/>
  <c r="I656" i="14" s="1"/>
  <c r="C656" i="14" s="1"/>
  <c r="J658" i="14" l="1"/>
  <c r="E658" i="14" s="1"/>
  <c r="G658" i="14" s="1"/>
  <c r="B658" i="14" s="1"/>
  <c r="H657" i="14"/>
  <c r="I657" i="14" s="1"/>
  <c r="C657" i="14" s="1"/>
  <c r="J659" i="14" l="1"/>
  <c r="E659" i="14" s="1"/>
  <c r="G659" i="14" s="1"/>
  <c r="B659" i="14" s="1"/>
  <c r="H658" i="14"/>
  <c r="I658" i="14" s="1"/>
  <c r="C658" i="14" s="1"/>
  <c r="J660" i="14" l="1"/>
  <c r="E660" i="14" s="1"/>
  <c r="G660" i="14" s="1"/>
  <c r="B660" i="14" s="1"/>
  <c r="H659" i="14"/>
  <c r="I659" i="14" s="1"/>
  <c r="C659" i="14" s="1"/>
  <c r="J661" i="14" l="1"/>
  <c r="E661" i="14" s="1"/>
  <c r="G661" i="14" s="1"/>
  <c r="B661" i="14" s="1"/>
  <c r="H660" i="14"/>
  <c r="I660" i="14" s="1"/>
  <c r="C660" i="14" s="1"/>
  <c r="J662" i="14" l="1"/>
  <c r="E662" i="14" s="1"/>
  <c r="G662" i="14" s="1"/>
  <c r="B662" i="14" s="1"/>
  <c r="H661" i="14"/>
  <c r="I661" i="14" s="1"/>
  <c r="C661" i="14" s="1"/>
  <c r="J663" i="14" l="1"/>
  <c r="E663" i="14" s="1"/>
  <c r="G663" i="14" s="1"/>
  <c r="B663" i="14" s="1"/>
  <c r="H662" i="14"/>
  <c r="I662" i="14" s="1"/>
  <c r="C662" i="14" s="1"/>
  <c r="J664" i="14" l="1"/>
  <c r="E664" i="14" s="1"/>
  <c r="G664" i="14" s="1"/>
  <c r="B664" i="14" s="1"/>
  <c r="H663" i="14"/>
  <c r="I663" i="14" s="1"/>
  <c r="C663" i="14" s="1"/>
  <c r="J665" i="14" l="1"/>
  <c r="E665" i="14" s="1"/>
  <c r="G665" i="14" s="1"/>
  <c r="B665" i="14" s="1"/>
  <c r="H664" i="14"/>
  <c r="I664" i="14" s="1"/>
  <c r="C664" i="14" s="1"/>
  <c r="J666" i="14" l="1"/>
  <c r="E666" i="14" s="1"/>
  <c r="G666" i="14" s="1"/>
  <c r="B666" i="14" s="1"/>
  <c r="H665" i="14"/>
  <c r="I665" i="14" s="1"/>
  <c r="C665" i="14" s="1"/>
  <c r="J667" i="14" l="1"/>
  <c r="E667" i="14" s="1"/>
  <c r="G667" i="14" s="1"/>
  <c r="B667" i="14" s="1"/>
  <c r="H666" i="14"/>
  <c r="I666" i="14" s="1"/>
  <c r="C666" i="14" s="1"/>
  <c r="J668" i="14" l="1"/>
  <c r="E668" i="14" s="1"/>
  <c r="G668" i="14" s="1"/>
  <c r="B668" i="14" s="1"/>
  <c r="H667" i="14"/>
  <c r="I667" i="14" s="1"/>
  <c r="C667" i="14" s="1"/>
  <c r="J669" i="14" l="1"/>
  <c r="E669" i="14" s="1"/>
  <c r="G669" i="14" s="1"/>
  <c r="B669" i="14" s="1"/>
  <c r="H668" i="14"/>
  <c r="I668" i="14" s="1"/>
  <c r="C668" i="14" s="1"/>
  <c r="J670" i="14" l="1"/>
  <c r="E670" i="14" s="1"/>
  <c r="G670" i="14" s="1"/>
  <c r="B670" i="14" s="1"/>
  <c r="H669" i="14"/>
  <c r="I669" i="14" s="1"/>
  <c r="C669" i="14" s="1"/>
  <c r="J671" i="14" l="1"/>
  <c r="E671" i="14" s="1"/>
  <c r="G671" i="14" s="1"/>
  <c r="B671" i="14" s="1"/>
  <c r="H670" i="14"/>
  <c r="I670" i="14" s="1"/>
  <c r="C670" i="14" s="1"/>
  <c r="J672" i="14" l="1"/>
  <c r="E672" i="14" s="1"/>
  <c r="G672" i="14" s="1"/>
  <c r="B672" i="14" s="1"/>
  <c r="H671" i="14"/>
  <c r="I671" i="14" s="1"/>
  <c r="C671" i="14" s="1"/>
  <c r="J673" i="14" l="1"/>
  <c r="E673" i="14" s="1"/>
  <c r="G673" i="14" s="1"/>
  <c r="B673" i="14" s="1"/>
  <c r="H672" i="14"/>
  <c r="I672" i="14" s="1"/>
  <c r="C672" i="14" s="1"/>
  <c r="J674" i="14" l="1"/>
  <c r="E674" i="14" s="1"/>
  <c r="G674" i="14" s="1"/>
  <c r="B674" i="14" s="1"/>
  <c r="H673" i="14"/>
  <c r="I673" i="14" s="1"/>
  <c r="C673" i="14" s="1"/>
  <c r="J675" i="14" l="1"/>
  <c r="E675" i="14" s="1"/>
  <c r="G675" i="14" s="1"/>
  <c r="B675" i="14" s="1"/>
  <c r="H674" i="14"/>
  <c r="I674" i="14" s="1"/>
  <c r="C674" i="14" s="1"/>
  <c r="J676" i="14" l="1"/>
  <c r="E676" i="14" s="1"/>
  <c r="G676" i="14" s="1"/>
  <c r="B676" i="14" s="1"/>
  <c r="H675" i="14"/>
  <c r="I675" i="14" s="1"/>
  <c r="C675" i="14" s="1"/>
  <c r="J677" i="14" l="1"/>
  <c r="E677" i="14" s="1"/>
  <c r="G677" i="14" s="1"/>
  <c r="B677" i="14" s="1"/>
  <c r="H676" i="14"/>
  <c r="I676" i="14" s="1"/>
  <c r="C676" i="14" s="1"/>
  <c r="J678" i="14" l="1"/>
  <c r="E678" i="14" s="1"/>
  <c r="G678" i="14" s="1"/>
  <c r="B678" i="14" s="1"/>
  <c r="H677" i="14"/>
  <c r="I677" i="14" s="1"/>
  <c r="C677" i="14" s="1"/>
  <c r="J679" i="14" l="1"/>
  <c r="E679" i="14" s="1"/>
  <c r="G679" i="14" s="1"/>
  <c r="B679" i="14" s="1"/>
  <c r="H678" i="14"/>
  <c r="I678" i="14" s="1"/>
  <c r="C678" i="14" s="1"/>
  <c r="J680" i="14" l="1"/>
  <c r="E680" i="14" s="1"/>
  <c r="G680" i="14" s="1"/>
  <c r="B680" i="14" s="1"/>
  <c r="H679" i="14"/>
  <c r="I679" i="14" s="1"/>
  <c r="C679" i="14" s="1"/>
  <c r="J681" i="14" l="1"/>
  <c r="E681" i="14" s="1"/>
  <c r="G681" i="14" s="1"/>
  <c r="B681" i="14" s="1"/>
  <c r="H680" i="14"/>
  <c r="I680" i="14" s="1"/>
  <c r="C680" i="14" s="1"/>
  <c r="J682" i="14" l="1"/>
  <c r="E682" i="14" s="1"/>
  <c r="G682" i="14" s="1"/>
  <c r="B682" i="14" s="1"/>
  <c r="H681" i="14"/>
  <c r="I681" i="14" s="1"/>
  <c r="C681" i="14" s="1"/>
  <c r="J683" i="14" l="1"/>
  <c r="E683" i="14" s="1"/>
  <c r="G683" i="14" s="1"/>
  <c r="B683" i="14" s="1"/>
  <c r="H682" i="14"/>
  <c r="I682" i="14" s="1"/>
  <c r="C682" i="14" s="1"/>
  <c r="J684" i="14" l="1"/>
  <c r="E684" i="14" s="1"/>
  <c r="G684" i="14" s="1"/>
  <c r="B684" i="14" s="1"/>
  <c r="H683" i="14"/>
  <c r="I683" i="14" s="1"/>
  <c r="C683" i="14" s="1"/>
  <c r="J685" i="14" l="1"/>
  <c r="E685" i="14" s="1"/>
  <c r="G685" i="14" s="1"/>
  <c r="B685" i="14" s="1"/>
  <c r="H684" i="14"/>
  <c r="I684" i="14" s="1"/>
  <c r="C684" i="14" s="1"/>
  <c r="J686" i="14" l="1"/>
  <c r="E686" i="14" s="1"/>
  <c r="G686" i="14" s="1"/>
  <c r="B686" i="14" s="1"/>
  <c r="H685" i="14"/>
  <c r="I685" i="14" s="1"/>
  <c r="C685" i="14" s="1"/>
  <c r="J687" i="14" l="1"/>
  <c r="E687" i="14" s="1"/>
  <c r="G687" i="14" s="1"/>
  <c r="B687" i="14" s="1"/>
  <c r="H686" i="14"/>
  <c r="I686" i="14" s="1"/>
  <c r="C686" i="14" s="1"/>
  <c r="J688" i="14" l="1"/>
  <c r="E688" i="14" s="1"/>
  <c r="G688" i="14" s="1"/>
  <c r="B688" i="14" s="1"/>
  <c r="H687" i="14"/>
  <c r="I687" i="14" s="1"/>
  <c r="C687" i="14" s="1"/>
  <c r="J689" i="14" l="1"/>
  <c r="E689" i="14" s="1"/>
  <c r="G689" i="14" s="1"/>
  <c r="B689" i="14" s="1"/>
  <c r="H688" i="14"/>
  <c r="I688" i="14" s="1"/>
  <c r="C688" i="14" s="1"/>
  <c r="J690" i="14" l="1"/>
  <c r="E690" i="14" s="1"/>
  <c r="G690" i="14" s="1"/>
  <c r="B690" i="14" s="1"/>
  <c r="H689" i="14"/>
  <c r="I689" i="14" s="1"/>
  <c r="C689" i="14" s="1"/>
  <c r="J691" i="14" l="1"/>
  <c r="E691" i="14" s="1"/>
  <c r="G691" i="14" s="1"/>
  <c r="B691" i="14" s="1"/>
  <c r="H690" i="14"/>
  <c r="I690" i="14" s="1"/>
  <c r="C690" i="14" s="1"/>
  <c r="J692" i="14" l="1"/>
  <c r="E692" i="14" s="1"/>
  <c r="G692" i="14" s="1"/>
  <c r="B692" i="14" s="1"/>
  <c r="H691" i="14"/>
  <c r="I691" i="14" s="1"/>
  <c r="C691" i="14" s="1"/>
  <c r="J693" i="14" l="1"/>
  <c r="E693" i="14" s="1"/>
  <c r="G693" i="14" s="1"/>
  <c r="B693" i="14" s="1"/>
  <c r="H692" i="14"/>
  <c r="I692" i="14" s="1"/>
  <c r="C692" i="14" s="1"/>
  <c r="J694" i="14" l="1"/>
  <c r="E694" i="14" s="1"/>
  <c r="G694" i="14" s="1"/>
  <c r="B694" i="14" s="1"/>
  <c r="H693" i="14"/>
  <c r="I693" i="14" s="1"/>
  <c r="C693" i="14" s="1"/>
  <c r="J695" i="14" l="1"/>
  <c r="E695" i="14" s="1"/>
  <c r="G695" i="14" s="1"/>
  <c r="B695" i="14" s="1"/>
  <c r="H694" i="14"/>
  <c r="I694" i="14" s="1"/>
  <c r="C694" i="14" s="1"/>
  <c r="J696" i="14" l="1"/>
  <c r="E696" i="14" s="1"/>
  <c r="G696" i="14" s="1"/>
  <c r="B696" i="14" s="1"/>
  <c r="H695" i="14"/>
  <c r="I695" i="14" s="1"/>
  <c r="C695" i="14" s="1"/>
  <c r="J697" i="14" l="1"/>
  <c r="E697" i="14" s="1"/>
  <c r="G697" i="14" s="1"/>
  <c r="B697" i="14" s="1"/>
  <c r="H696" i="14"/>
  <c r="I696" i="14" s="1"/>
  <c r="C696" i="14" s="1"/>
  <c r="J698" i="14" l="1"/>
  <c r="E698" i="14" s="1"/>
  <c r="G698" i="14" s="1"/>
  <c r="B698" i="14" s="1"/>
  <c r="H697" i="14"/>
  <c r="I697" i="14" s="1"/>
  <c r="C697" i="14" s="1"/>
  <c r="J699" i="14" l="1"/>
  <c r="E699" i="14" s="1"/>
  <c r="G699" i="14" s="1"/>
  <c r="B699" i="14" s="1"/>
  <c r="H698" i="14"/>
  <c r="I698" i="14" s="1"/>
  <c r="C698" i="14" s="1"/>
  <c r="J700" i="14" l="1"/>
  <c r="E700" i="14" s="1"/>
  <c r="G700" i="14" s="1"/>
  <c r="B700" i="14" s="1"/>
  <c r="H699" i="14"/>
  <c r="I699" i="14" s="1"/>
  <c r="C699" i="14" s="1"/>
  <c r="J701" i="14" l="1"/>
  <c r="E701" i="14" s="1"/>
  <c r="G701" i="14" s="1"/>
  <c r="B701" i="14" s="1"/>
  <c r="H700" i="14"/>
  <c r="I700" i="14" s="1"/>
  <c r="C700" i="14" s="1"/>
  <c r="J702" i="14" l="1"/>
  <c r="E702" i="14" s="1"/>
  <c r="G702" i="14" s="1"/>
  <c r="B702" i="14" s="1"/>
  <c r="H701" i="14"/>
  <c r="I701" i="14" s="1"/>
  <c r="C701" i="14" s="1"/>
  <c r="J703" i="14" l="1"/>
  <c r="E703" i="14" s="1"/>
  <c r="G703" i="14" s="1"/>
  <c r="B703" i="14" s="1"/>
  <c r="H702" i="14"/>
  <c r="I702" i="14" s="1"/>
  <c r="C702" i="14" s="1"/>
  <c r="J704" i="14" l="1"/>
  <c r="E704" i="14" s="1"/>
  <c r="G704" i="14" s="1"/>
  <c r="B704" i="14" s="1"/>
  <c r="H703" i="14"/>
  <c r="I703" i="14" s="1"/>
  <c r="C703" i="14" s="1"/>
  <c r="J705" i="14" l="1"/>
  <c r="E705" i="14" s="1"/>
  <c r="G705" i="14" s="1"/>
  <c r="B705" i="14" s="1"/>
  <c r="H704" i="14"/>
  <c r="I704" i="14" s="1"/>
  <c r="C704" i="14" s="1"/>
  <c r="J706" i="14" l="1"/>
  <c r="E706" i="14" s="1"/>
  <c r="G706" i="14" s="1"/>
  <c r="B706" i="14" s="1"/>
  <c r="H705" i="14"/>
  <c r="I705" i="14" s="1"/>
  <c r="C705" i="14" s="1"/>
  <c r="J707" i="14" l="1"/>
  <c r="E707" i="14" s="1"/>
  <c r="G707" i="14" s="1"/>
  <c r="B707" i="14" s="1"/>
  <c r="H706" i="14"/>
  <c r="I706" i="14" s="1"/>
  <c r="C706" i="14" s="1"/>
  <c r="J708" i="14" l="1"/>
  <c r="E708" i="14" s="1"/>
  <c r="G708" i="14" s="1"/>
  <c r="B708" i="14" s="1"/>
  <c r="H707" i="14"/>
  <c r="I707" i="14" s="1"/>
  <c r="C707" i="14" s="1"/>
  <c r="J709" i="14" l="1"/>
  <c r="E709" i="14" s="1"/>
  <c r="G709" i="14" s="1"/>
  <c r="B709" i="14" s="1"/>
  <c r="H708" i="14"/>
  <c r="I708" i="14" s="1"/>
  <c r="C708" i="14" s="1"/>
  <c r="J710" i="14" l="1"/>
  <c r="E710" i="14" s="1"/>
  <c r="G710" i="14" s="1"/>
  <c r="B710" i="14" s="1"/>
  <c r="H709" i="14"/>
  <c r="I709" i="14" s="1"/>
  <c r="C709" i="14" s="1"/>
  <c r="J711" i="14" l="1"/>
  <c r="E711" i="14" s="1"/>
  <c r="G711" i="14" s="1"/>
  <c r="B711" i="14" s="1"/>
  <c r="H710" i="14"/>
  <c r="I710" i="14" s="1"/>
  <c r="C710" i="14" s="1"/>
  <c r="J712" i="14" l="1"/>
  <c r="E712" i="14" s="1"/>
  <c r="G712" i="14" s="1"/>
  <c r="B712" i="14" s="1"/>
  <c r="H711" i="14"/>
  <c r="I711" i="14" s="1"/>
  <c r="C711" i="14" s="1"/>
  <c r="J713" i="14" l="1"/>
  <c r="E713" i="14" s="1"/>
  <c r="G713" i="14" s="1"/>
  <c r="B713" i="14" s="1"/>
  <c r="H712" i="14"/>
  <c r="I712" i="14" s="1"/>
  <c r="C712" i="14" s="1"/>
  <c r="J714" i="14" l="1"/>
  <c r="E714" i="14" s="1"/>
  <c r="G714" i="14" s="1"/>
  <c r="B714" i="14" s="1"/>
  <c r="H713" i="14"/>
  <c r="I713" i="14" s="1"/>
  <c r="C713" i="14" s="1"/>
  <c r="J715" i="14" l="1"/>
  <c r="E715" i="14" s="1"/>
  <c r="G715" i="14" s="1"/>
  <c r="B715" i="14" s="1"/>
  <c r="H714" i="14"/>
  <c r="I714" i="14" s="1"/>
  <c r="C714" i="14" s="1"/>
  <c r="J716" i="14" l="1"/>
  <c r="E716" i="14" s="1"/>
  <c r="G716" i="14" s="1"/>
  <c r="B716" i="14" s="1"/>
  <c r="H715" i="14"/>
  <c r="I715" i="14" s="1"/>
  <c r="C715" i="14" s="1"/>
  <c r="J717" i="14" l="1"/>
  <c r="E717" i="14" s="1"/>
  <c r="G717" i="14" s="1"/>
  <c r="B717" i="14" s="1"/>
  <c r="H716" i="14"/>
  <c r="I716" i="14" s="1"/>
  <c r="C716" i="14" s="1"/>
  <c r="J718" i="14" l="1"/>
  <c r="E718" i="14" s="1"/>
  <c r="G718" i="14" s="1"/>
  <c r="B718" i="14" s="1"/>
  <c r="H717" i="14"/>
  <c r="I717" i="14" s="1"/>
  <c r="C717" i="14" s="1"/>
  <c r="J719" i="14" l="1"/>
  <c r="E719" i="14" s="1"/>
  <c r="G719" i="14" s="1"/>
  <c r="B719" i="14" s="1"/>
  <c r="H718" i="14"/>
  <c r="I718" i="14" s="1"/>
  <c r="C718" i="14" s="1"/>
  <c r="J720" i="14" l="1"/>
  <c r="E720" i="14" s="1"/>
  <c r="G720" i="14" s="1"/>
  <c r="B720" i="14" s="1"/>
  <c r="H719" i="14"/>
  <c r="I719" i="14" s="1"/>
  <c r="C719" i="14" s="1"/>
  <c r="J721" i="14" l="1"/>
  <c r="E721" i="14" s="1"/>
  <c r="G721" i="14" s="1"/>
  <c r="B721" i="14" s="1"/>
  <c r="H720" i="14"/>
  <c r="I720" i="14" s="1"/>
  <c r="C720" i="14" s="1"/>
  <c r="J722" i="14" l="1"/>
  <c r="E722" i="14" s="1"/>
  <c r="G722" i="14" s="1"/>
  <c r="B722" i="14" s="1"/>
  <c r="H721" i="14"/>
  <c r="I721" i="14" s="1"/>
  <c r="C721" i="14" s="1"/>
  <c r="J723" i="14" l="1"/>
  <c r="E723" i="14" s="1"/>
  <c r="G723" i="14" s="1"/>
  <c r="B723" i="14" s="1"/>
  <c r="H722" i="14"/>
  <c r="I722" i="14" s="1"/>
  <c r="C722" i="14" s="1"/>
  <c r="J724" i="14" l="1"/>
  <c r="E724" i="14" s="1"/>
  <c r="G724" i="14" s="1"/>
  <c r="B724" i="14" s="1"/>
  <c r="H723" i="14"/>
  <c r="I723" i="14" s="1"/>
  <c r="C723" i="14" s="1"/>
  <c r="J725" i="14" l="1"/>
  <c r="E725" i="14" s="1"/>
  <c r="G725" i="14" s="1"/>
  <c r="B725" i="14" s="1"/>
  <c r="H724" i="14"/>
  <c r="I724" i="14" s="1"/>
  <c r="C724" i="14" s="1"/>
  <c r="J726" i="14" l="1"/>
  <c r="E726" i="14" s="1"/>
  <c r="G726" i="14" s="1"/>
  <c r="B726" i="14" s="1"/>
  <c r="H725" i="14"/>
  <c r="I725" i="14" s="1"/>
  <c r="C725" i="14" s="1"/>
  <c r="J727" i="14" l="1"/>
  <c r="E727" i="14" s="1"/>
  <c r="G727" i="14" s="1"/>
  <c r="B727" i="14" s="1"/>
  <c r="H726" i="14"/>
  <c r="I726" i="14" s="1"/>
  <c r="C726" i="14" s="1"/>
  <c r="J728" i="14" l="1"/>
  <c r="E728" i="14" s="1"/>
  <c r="G728" i="14" s="1"/>
  <c r="B728" i="14" s="1"/>
  <c r="H727" i="14"/>
  <c r="I727" i="14" s="1"/>
  <c r="C727" i="14" s="1"/>
  <c r="J729" i="14" l="1"/>
  <c r="E729" i="14" s="1"/>
  <c r="G729" i="14" s="1"/>
  <c r="B729" i="14" s="1"/>
  <c r="H728" i="14"/>
  <c r="I728" i="14" s="1"/>
  <c r="C728" i="14" s="1"/>
  <c r="J730" i="14" l="1"/>
  <c r="E730" i="14" s="1"/>
  <c r="G730" i="14" s="1"/>
  <c r="B730" i="14" s="1"/>
  <c r="H729" i="14"/>
  <c r="I729" i="14" s="1"/>
  <c r="C729" i="14" s="1"/>
  <c r="J731" i="14" l="1"/>
  <c r="E731" i="14" s="1"/>
  <c r="G731" i="14" s="1"/>
  <c r="B731" i="14" s="1"/>
  <c r="H730" i="14"/>
  <c r="I730" i="14" s="1"/>
  <c r="C730" i="14" s="1"/>
  <c r="J732" i="14" l="1"/>
  <c r="E732" i="14" s="1"/>
  <c r="G732" i="14" s="1"/>
  <c r="B732" i="14" s="1"/>
  <c r="H731" i="14"/>
  <c r="I731" i="14" s="1"/>
  <c r="C731" i="14" s="1"/>
  <c r="J733" i="14" l="1"/>
  <c r="E733" i="14" s="1"/>
  <c r="G733" i="14" s="1"/>
  <c r="B733" i="14" s="1"/>
  <c r="H732" i="14"/>
  <c r="I732" i="14" s="1"/>
  <c r="C732" i="14" s="1"/>
  <c r="J734" i="14" l="1"/>
  <c r="E734" i="14" s="1"/>
  <c r="G734" i="14" s="1"/>
  <c r="B734" i="14" s="1"/>
  <c r="H733" i="14"/>
  <c r="I733" i="14" s="1"/>
  <c r="C733" i="14" s="1"/>
  <c r="J735" i="14" l="1"/>
  <c r="E735" i="14" s="1"/>
  <c r="G735" i="14" s="1"/>
  <c r="B735" i="14" s="1"/>
  <c r="H734" i="14"/>
  <c r="I734" i="14" s="1"/>
  <c r="C734" i="14" s="1"/>
  <c r="J736" i="14" l="1"/>
  <c r="E736" i="14" s="1"/>
  <c r="G736" i="14" s="1"/>
  <c r="B736" i="14" s="1"/>
  <c r="H735" i="14"/>
  <c r="I735" i="14" s="1"/>
  <c r="C735" i="14" s="1"/>
  <c r="J737" i="14" l="1"/>
  <c r="E737" i="14" s="1"/>
  <c r="G737" i="14" s="1"/>
  <c r="B737" i="14" s="1"/>
  <c r="H736" i="14"/>
  <c r="I736" i="14" s="1"/>
  <c r="C736" i="14" s="1"/>
  <c r="J738" i="14" l="1"/>
  <c r="E738" i="14" s="1"/>
  <c r="G738" i="14" s="1"/>
  <c r="B738" i="14" s="1"/>
  <c r="H737" i="14"/>
  <c r="I737" i="14" s="1"/>
  <c r="C737" i="14" s="1"/>
  <c r="J739" i="14" l="1"/>
  <c r="E739" i="14" s="1"/>
  <c r="G739" i="14" s="1"/>
  <c r="H738" i="14"/>
  <c r="I738" i="14" s="1"/>
  <c r="C738" i="14" s="1"/>
  <c r="H739" i="14" l="1"/>
  <c r="I739" i="14" s="1"/>
  <c r="C739" i="14" s="1"/>
  <c r="B739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Азиз Абылхасим</author>
  </authors>
  <commentList>
    <comment ref="E2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Азиз Абылхасим:</t>
        </r>
        <r>
          <rPr>
            <sz val="9"/>
            <color indexed="81"/>
            <rFont val="Tahoma"/>
            <family val="2"/>
            <charset val="204"/>
          </rPr>
          <t xml:space="preserve">
Для годовых выплат Аннуитетный фактор Нетто ӓx:n┐</t>
        </r>
      </text>
    </comment>
    <comment ref="E3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Азиз Абылхасим:</t>
        </r>
        <r>
          <rPr>
            <sz val="9"/>
            <color indexed="81"/>
            <rFont val="Tahoma"/>
            <family val="2"/>
            <charset val="204"/>
          </rPr>
          <t xml:space="preserve">
Для ежемесячных выплат Аннуитетный фактор Нетто ӓx:n┐
</t>
        </r>
      </text>
    </comment>
  </commentList>
</comments>
</file>

<file path=xl/sharedStrings.xml><?xml version="1.0" encoding="utf-8"?>
<sst xmlns="http://schemas.openxmlformats.org/spreadsheetml/2006/main" count="528" uniqueCount="451">
  <si>
    <t>Данные для договора:</t>
  </si>
  <si>
    <t>Данные для расчета:</t>
  </si>
  <si>
    <t>Фамилия Страхователя</t>
  </si>
  <si>
    <t>Имя Страхователя</t>
  </si>
  <si>
    <t>Отчество Страхователя</t>
  </si>
  <si>
    <t>Дата начала аннуитетных выплат</t>
  </si>
  <si>
    <t>Дата рождения Застрахованного</t>
  </si>
  <si>
    <t>Пол Застрахованного</t>
  </si>
  <si>
    <t>Категория Застрахованного</t>
  </si>
  <si>
    <t>Периодичность аннуитетной выплаты</t>
  </si>
  <si>
    <t>Место жительство Страхователя</t>
  </si>
  <si>
    <t>Вид документа</t>
  </si>
  <si>
    <t>Кем выдан</t>
  </si>
  <si>
    <t>ИИН</t>
  </si>
  <si>
    <t>Телефон</t>
  </si>
  <si>
    <t>дом.</t>
  </si>
  <si>
    <t>раб.</t>
  </si>
  <si>
    <t>моб.</t>
  </si>
  <si>
    <t>Электронный адрес</t>
  </si>
  <si>
    <t>Наименование пенсионного фонда</t>
  </si>
  <si>
    <t>АО «Единый накопительный пенсионный фонд»</t>
  </si>
  <si>
    <t>Наименование банка</t>
  </si>
  <si>
    <t>БИК</t>
  </si>
  <si>
    <t>Счет</t>
  </si>
  <si>
    <t>Вид счета</t>
  </si>
  <si>
    <t>Использовать реквезиты</t>
  </si>
  <si>
    <t>Страховщик, в лице:</t>
  </si>
  <si>
    <t>Регион</t>
  </si>
  <si>
    <t>ФИО Выгодоприобретателя</t>
  </si>
  <si>
    <t>Место жительства выгодоприобретателя</t>
  </si>
  <si>
    <t>Данные документа, удостоверяющего личность выгодоприобретателя</t>
  </si>
  <si>
    <t>индексация</t>
  </si>
  <si>
    <t>Свокупный размер премии,  в.т.ч.</t>
  </si>
  <si>
    <t>за счет обязательных взносов</t>
  </si>
  <si>
    <t>мужчина</t>
  </si>
  <si>
    <t>женщина</t>
  </si>
  <si>
    <t>срок окончания</t>
  </si>
  <si>
    <t>периодичность</t>
  </si>
  <si>
    <t>ежегодно</t>
  </si>
  <si>
    <t>раз в полгода</t>
  </si>
  <si>
    <t>ежеквартально</t>
  </si>
  <si>
    <t>ежемесячно</t>
  </si>
  <si>
    <t>Размер аннуитетной выплаты</t>
  </si>
  <si>
    <t>Резервы</t>
  </si>
  <si>
    <t>размер выплаты</t>
  </si>
  <si>
    <t>инвестиционная маржа</t>
  </si>
  <si>
    <t>дисконт</t>
  </si>
  <si>
    <t>Таблица смертности</t>
  </si>
  <si>
    <t>Гарантированный период выплат, в годах</t>
  </si>
  <si>
    <t>Дата последней выплаты</t>
  </si>
  <si>
    <t>пенсионный возраст</t>
  </si>
  <si>
    <t>Тарифный базис</t>
  </si>
  <si>
    <t>Ставка доходности</t>
  </si>
  <si>
    <t>Расход от премии</t>
  </si>
  <si>
    <t>Расход от выплат</t>
  </si>
  <si>
    <t>возраст</t>
  </si>
  <si>
    <t>qx</t>
  </si>
  <si>
    <t>px</t>
  </si>
  <si>
    <t>tpx</t>
  </si>
  <si>
    <t>PV</t>
  </si>
  <si>
    <t>Ежегодная Выплата</t>
  </si>
  <si>
    <t>Результаты:</t>
  </si>
  <si>
    <t>аннуитетный фактор, нетто</t>
  </si>
  <si>
    <t>аннуитетный фактор, брутто</t>
  </si>
  <si>
    <t>Периодическая выплата</t>
  </si>
  <si>
    <t>tpx ч учетом ГП</t>
  </si>
  <si>
    <t>дата</t>
  </si>
  <si>
    <t>нетто премия</t>
  </si>
  <si>
    <t>МРП</t>
  </si>
  <si>
    <t>МЗП</t>
  </si>
  <si>
    <t>МП</t>
  </si>
  <si>
    <t>Мин. возраст аннуитета</t>
  </si>
  <si>
    <t>Проверка данных</t>
  </si>
  <si>
    <t>Макс. гарант. период</t>
  </si>
  <si>
    <t>Мин. анн. выплата</t>
  </si>
  <si>
    <t>Достаточная премия</t>
  </si>
  <si>
    <t>АО  "НПФ ГРАНТУМ"</t>
  </si>
  <si>
    <t>АО  "НПФ "НефтеГаз - Дем"</t>
  </si>
  <si>
    <t>АО "Накопительный пенсионный фонд  "ҰларҮміт"</t>
  </si>
  <si>
    <t>АО "Накопительный Пенсионный Фонд АМАНАТ КАЗАХСТАН"</t>
  </si>
  <si>
    <t>АО "Накопительный пенсионный фонд "Атамекен"</t>
  </si>
  <si>
    <t>АО «Накопительный пенсионный фонд БТА Казахстан»</t>
  </si>
  <si>
    <t>АО "Накопительный пенсионный фонд "ГНПФ"</t>
  </si>
  <si>
    <t xml:space="preserve">АО "Накопительный пенсионный Фонд Казахмыс" </t>
  </si>
  <si>
    <t xml:space="preserve">АО Накопительный пенсионный фонд "Қорғау" </t>
  </si>
  <si>
    <t>АО «Накопительный пенсионный фонд «РЕСПУБЛИКА»</t>
  </si>
  <si>
    <t>АО НПФ "АСТАНА"</t>
  </si>
  <si>
    <t>АО «НПФ «Капитал» - ДО АО «Банк ЦентрКредит»</t>
  </si>
  <si>
    <t xml:space="preserve">АО "Открытый накопительный пенсионный фонд  "Отан" </t>
  </si>
  <si>
    <t>Не указан</t>
  </si>
  <si>
    <t>ОНПФ "Улар"</t>
  </si>
  <si>
    <t>ОНПФ "Федерации профсоюзов РК"</t>
  </si>
  <si>
    <t>Пенсионер</t>
  </si>
  <si>
    <t>перевод с КСЖ</t>
  </si>
  <si>
    <t>ПНФ Народного банка  Казахстана</t>
  </si>
  <si>
    <t>ПФ «Индустриальный Казахстан»</t>
  </si>
  <si>
    <t>ПФ Курмет</t>
  </si>
  <si>
    <t>за счет добровольных взносов</t>
  </si>
  <si>
    <t>за счет профессиональных взносов</t>
  </si>
  <si>
    <t>бір</t>
  </si>
  <si>
    <t>он</t>
  </si>
  <si>
    <t xml:space="preserve"> жүз</t>
  </si>
  <si>
    <t>екі</t>
  </si>
  <si>
    <t>жиырма</t>
  </si>
  <si>
    <t xml:space="preserve"> мың</t>
  </si>
  <si>
    <t>үш</t>
  </si>
  <si>
    <t>отыз</t>
  </si>
  <si>
    <t xml:space="preserve"> миллион</t>
  </si>
  <si>
    <t>төрт</t>
  </si>
  <si>
    <t>қырық</t>
  </si>
  <si>
    <t>бес</t>
  </si>
  <si>
    <t>елу</t>
  </si>
  <si>
    <t>алты</t>
  </si>
  <si>
    <t>алпыс</t>
  </si>
  <si>
    <t>жеті</t>
  </si>
  <si>
    <t>жетпіс</t>
  </si>
  <si>
    <t>сегіз</t>
  </si>
  <si>
    <t>сексен</t>
  </si>
  <si>
    <t>тоғыз</t>
  </si>
  <si>
    <t>тоқсан</t>
  </si>
  <si>
    <t>NumTransKaz</t>
  </si>
  <si>
    <t>АО "БТА Банк"</t>
  </si>
  <si>
    <t>ABKZKZKX</t>
  </si>
  <si>
    <t>«БТА Банкі»  АҚ</t>
  </si>
  <si>
    <t>АО ДБ "RBS (Kazakhstan)"</t>
  </si>
  <si>
    <t>ABNAKZKX</t>
  </si>
  <si>
    <t>«RBS (Kazakhstan)» АҚ</t>
  </si>
  <si>
    <t>АО ДБ Альфа-Банк</t>
  </si>
  <si>
    <t>ALFAKZKA</t>
  </si>
  <si>
    <t>"Альфа-банк" ЕБ" АҚ</t>
  </si>
  <si>
    <t>АО "АТФБанк"</t>
  </si>
  <si>
    <t>ALMNKZKA</t>
  </si>
  <si>
    <t xml:space="preserve"> "АТФБанк" АҚ</t>
  </si>
  <si>
    <t>ASFBKZKA</t>
  </si>
  <si>
    <t>АО ДБ "БАНК КИТАЯ В КАЗАХСТАНЕ"</t>
  </si>
  <si>
    <t>BKCHKZKA</t>
  </si>
  <si>
    <t>"Қазақстандағы Қытай Банкі" ЕБ АҚ</t>
  </si>
  <si>
    <t>ЗАО"ЦЕНТР-АЗИАТСКИЙ БАНК СОТР.И РАЗВИТИЯ"</t>
  </si>
  <si>
    <t>CABRKZKA</t>
  </si>
  <si>
    <t>АО "KASPI BANK"</t>
  </si>
  <si>
    <t>CASPKZKA</t>
  </si>
  <si>
    <t>" Kaspi Bank" АҚ</t>
  </si>
  <si>
    <t>АО "ЦЕНТРАЛЬНЫЙ ДЕПОЗИТАРИЙ ЦЕННЫХ БУМАГ"</t>
  </si>
  <si>
    <t>CEDUKZKA</t>
  </si>
  <si>
    <t>АО "Ситибанк Казахстан"</t>
  </si>
  <si>
    <t>CITIKZKA</t>
  </si>
  <si>
    <t xml:space="preserve"> "Ситибанк Қазақстан" АҚ </t>
  </si>
  <si>
    <t>АО "ДБ "Punjab National Bank" - Казахстан"</t>
  </si>
  <si>
    <t>DABNKZ2P</t>
  </si>
  <si>
    <t>АО "БанкПозитив Казахстан (ДБ Банка Апоалим Б.М.)"</t>
  </si>
  <si>
    <t>DEMIKZKA</t>
  </si>
  <si>
    <t>"Банк Позитив" АҚ</t>
  </si>
  <si>
    <t>АО "Банк Развития Казахстана"</t>
  </si>
  <si>
    <t>DVKAKZKA</t>
  </si>
  <si>
    <t>АО "Евразийский банк развития"</t>
  </si>
  <si>
    <t>EABRKZKA</t>
  </si>
  <si>
    <t>ОАО «ЮниКредит Банк»</t>
  </si>
  <si>
    <t>ENEJKG22</t>
  </si>
  <si>
    <t>АО "Евразийский Банк"</t>
  </si>
  <si>
    <t>EURIKZKA</t>
  </si>
  <si>
    <t>«Евразиалық Банкі» АҚ</t>
  </si>
  <si>
    <t>АО "ЭКСИМБАНК КАЗАХСТАН"</t>
  </si>
  <si>
    <t>EXKAKZKA</t>
  </si>
  <si>
    <t xml:space="preserve"> "ҚАЗАҚСТАН ЭКСИМБАНКІ" АҚ</t>
  </si>
  <si>
    <t>АО «ForteBank»</t>
  </si>
  <si>
    <t>FOBAKZKA</t>
  </si>
  <si>
    <t>РГКП Государственный центр по выплате пенсий</t>
  </si>
  <si>
    <t>GCVPKZ2A</t>
  </si>
  <si>
    <t>АО "Жилстройсбербанк Казахстана"</t>
  </si>
  <si>
    <t>HCSKKZKA</t>
  </si>
  <si>
    <t xml:space="preserve"> «Қазақстанның тұрғын үй құрылыс жинақ банкі» АҚ</t>
  </si>
  <si>
    <t>АО "Исламский Банк "Al Hilal"</t>
  </si>
  <si>
    <t>HLALKZKZ</t>
  </si>
  <si>
    <t xml:space="preserve">  "Al-Hilal" Ислам Банкі" АҚ</t>
  </si>
  <si>
    <t>АО "Народный Банк Казахстана"</t>
  </si>
  <si>
    <t>HSBKKZKX</t>
  </si>
  <si>
    <t>"Қазақстан Халық Банкі" АҚ</t>
  </si>
  <si>
    <t>АО "Торгово-промышленный Банк Китая в г. Алматы"</t>
  </si>
  <si>
    <t>ICBKKZKX</t>
  </si>
  <si>
    <t>г.Москва Межгосударственный Банк</t>
  </si>
  <si>
    <t>INEARUMM</t>
  </si>
  <si>
    <t>АО "Хоум Кредит Банк"</t>
  </si>
  <si>
    <t>INLMKZKA</t>
  </si>
  <si>
    <t xml:space="preserve">«Хоум Кредит Банк» АҚ </t>
  </si>
  <si>
    <t>IRTYKZKA</t>
  </si>
  <si>
    <t xml:space="preserve"> "Альянс Банкі" АҚ</t>
  </si>
  <si>
    <t>АО "ТЕМIРБАНК"</t>
  </si>
  <si>
    <t>JSRBKZKA</t>
  </si>
  <si>
    <t>"ТЕМIРБАНК" АҚ</t>
  </si>
  <si>
    <t>АО "КазИнвестБанк"</t>
  </si>
  <si>
    <t>KAZSKZKA</t>
  </si>
  <si>
    <t>"Казинвестбанк" АҚ</t>
  </si>
  <si>
    <t>АО "Банк ЦентрКредит"</t>
  </si>
  <si>
    <t>KCJBKZKX</t>
  </si>
  <si>
    <t>"Банк ЦентрКредит" АҚ</t>
  </si>
  <si>
    <t>АО "Казахстанская фондовая биржа"</t>
  </si>
  <si>
    <t>KICEKZKX</t>
  </si>
  <si>
    <t>АО "Казахстанский Инновационный Коммерческий Банк"</t>
  </si>
  <si>
    <t>KINCKZKA</t>
  </si>
  <si>
    <t>"Казинкомбанк" АҚ</t>
  </si>
  <si>
    <t>AO "Bank RBK"</t>
  </si>
  <si>
    <t>РГП "Казахстанский центр межбанковских расчетов НБРК"</t>
  </si>
  <si>
    <t>KISCKZKX</t>
  </si>
  <si>
    <t>ГУ "Комитет казначейства Министерства финансов РК"</t>
  </si>
  <si>
    <t>KKMFKZ2A</t>
  </si>
  <si>
    <t>АО "Ипотечная организация "Казахстанская Ипотечная Компания"</t>
  </si>
  <si>
    <t>KMGCKZKA</t>
  </si>
  <si>
    <t>АО "КАЗПОЧТА"</t>
  </si>
  <si>
    <t>KPSTKZKA</t>
  </si>
  <si>
    <t>АО "Банк Kassa Nova"</t>
  </si>
  <si>
    <t>KSNVKZKA</t>
  </si>
  <si>
    <t xml:space="preserve">«Банк Kassa Nova» АҚ </t>
  </si>
  <si>
    <t>АО "ДБ "КАЗАХСТАН-ЗИРААТ ИНТЕРНЕШНЛ БАНК"</t>
  </si>
  <si>
    <t>KZIBKZKA</t>
  </si>
  <si>
    <t>АО "КАЗКОММЕРЦБАНК"</t>
  </si>
  <si>
    <t>KZKOKZKX</t>
  </si>
  <si>
    <t xml:space="preserve">"КАЗКОММЕРЦБАНК" АҚ </t>
  </si>
  <si>
    <t>АО "AsiaCredit Bank (АзияКредит Банк)"</t>
  </si>
  <si>
    <t>LARIKZKA</t>
  </si>
  <si>
    <t xml:space="preserve">«AsiaCredit Bank (АзияКредит Банк)» АҚ </t>
  </si>
  <si>
    <t>АО "МЕТРОКОМБАНК"</t>
  </si>
  <si>
    <t>MEOKKZKA</t>
  </si>
  <si>
    <t>"МЕТРОКОМБАНК" АҚ</t>
  </si>
  <si>
    <t>АО "Мастербанк"</t>
  </si>
  <si>
    <t>MSRBKZKA</t>
  </si>
  <si>
    <t>АО ДБ "Национальный Банк Пакистана" в Казахстане</t>
  </si>
  <si>
    <t>NBPAKZKA</t>
  </si>
  <si>
    <t xml:space="preserve">"Пәкістан Ұлттық банкісінің" Қазақстандағы ЕБ АҚ </t>
  </si>
  <si>
    <t>ГУ Национальный Банк РК</t>
  </si>
  <si>
    <t>NBRKKZKX</t>
  </si>
  <si>
    <t>АО "Delta Bank"</t>
  </si>
  <si>
    <t>NFBAKZ23</t>
  </si>
  <si>
    <t>"Delta Bank"АҚ</t>
  </si>
  <si>
    <t>АО "Национальный процессинговый центр"</t>
  </si>
  <si>
    <t>NPCKKZKA</t>
  </si>
  <si>
    <t>АО "Нурбанк"</t>
  </si>
  <si>
    <t>NURSKZKX</t>
  </si>
  <si>
    <t>"Нұрбанк" АҚ"</t>
  </si>
  <si>
    <t>ДБ АО "Сбербанк России"</t>
  </si>
  <si>
    <t>SABRKZKA</t>
  </si>
  <si>
    <t>"Ресей Жинақ банкі" АҚ ЕБ</t>
  </si>
  <si>
    <t>АО "Qazaq Banki"</t>
  </si>
  <si>
    <t>SENIKZKA</t>
  </si>
  <si>
    <t>АО "Шинхан Банк Казахстан"</t>
  </si>
  <si>
    <t>SHBKKZKA</t>
  </si>
  <si>
    <t>"Шинхан Банк Казахстан" АҚ</t>
  </si>
  <si>
    <t>АО ДБ  "ТАИБ КАЗАХСКИЙ БАНК"</t>
  </si>
  <si>
    <t>TBKBKZKA</t>
  </si>
  <si>
    <t>"ТАИБ КАЗАҚ БАНКІ" ЕБ АҚ</t>
  </si>
  <si>
    <t>АО "Цеснабанк"</t>
  </si>
  <si>
    <t>TSESKZKA</t>
  </si>
  <si>
    <t>"ЦЕСНАБАНК" АҚ</t>
  </si>
  <si>
    <t>Дочерняя организация АО Банк ВТБ (Казахстан)</t>
  </si>
  <si>
    <t>VTBAKZKZ</t>
  </si>
  <si>
    <t xml:space="preserve">Банк ВТБ (Қазақстан) АҚ </t>
  </si>
  <si>
    <t>АО "Заман-Банк"</t>
  </si>
  <si>
    <t>ZAJSKZ22</t>
  </si>
  <si>
    <t xml:space="preserve"> "Заман-Банк"  АҚ</t>
  </si>
  <si>
    <t>ОАО "Альфа-Банк" г. Москва</t>
  </si>
  <si>
    <t>044525593</t>
  </si>
  <si>
    <t>г. Таганрог АО "СберБанк"</t>
  </si>
  <si>
    <t>046015602</t>
  </si>
  <si>
    <t>Реквизиты банка</t>
  </si>
  <si>
    <t>раз в год</t>
  </si>
  <si>
    <t>раз в квартал</t>
  </si>
  <si>
    <t>раз в месяц</t>
  </si>
  <si>
    <t>Паспорт</t>
  </si>
  <si>
    <t>Удостоверение лица без гражданства</t>
  </si>
  <si>
    <t>Вид на жительство</t>
  </si>
  <si>
    <t>Сақтандырушы:</t>
  </si>
  <si>
    <t>Страховщик:</t>
  </si>
  <si>
    <t>жылына</t>
  </si>
  <si>
    <t>годовой</t>
  </si>
  <si>
    <t>жылдық</t>
  </si>
  <si>
    <t>жарты жылда</t>
  </si>
  <si>
    <t>полугодовой</t>
  </si>
  <si>
    <t>жарты жылдық</t>
  </si>
  <si>
    <t>тоқсанына</t>
  </si>
  <si>
    <t>ежеквартальной</t>
  </si>
  <si>
    <t>тоқсан сайынғы</t>
  </si>
  <si>
    <t>айына</t>
  </si>
  <si>
    <t>ежемесячной</t>
  </si>
  <si>
    <t>ай сайынғы</t>
  </si>
  <si>
    <t>Карт. счет</t>
  </si>
  <si>
    <t>Лицевой счет</t>
  </si>
  <si>
    <t>мужской</t>
  </si>
  <si>
    <t>женский</t>
  </si>
  <si>
    <t xml:space="preserve"> </t>
  </si>
  <si>
    <t>БИН банка</t>
  </si>
  <si>
    <t xml:space="preserve">возраст на дату последней выплаты </t>
  </si>
  <si>
    <t>ер адам</t>
  </si>
  <si>
    <t>әйел</t>
  </si>
  <si>
    <t>Есептелген күні:</t>
  </si>
  <si>
    <t>Дата расчета:</t>
  </si>
  <si>
    <t>Кепілдік кезеңі:</t>
  </si>
  <si>
    <t>Гарантированный период:</t>
  </si>
  <si>
    <t xml:space="preserve">жыл сайын </t>
  </si>
  <si>
    <t>жарты жыл сайын</t>
  </si>
  <si>
    <t>тоқсан сайын</t>
  </si>
  <si>
    <t>ай сайын</t>
  </si>
  <si>
    <t>Дата последней годовой выплаты</t>
  </si>
  <si>
    <t>для расчета резерва</t>
  </si>
  <si>
    <t>рыночная ставка</t>
  </si>
  <si>
    <t>оценка окупаемости</t>
  </si>
  <si>
    <t xml:space="preserve">Туған күні: </t>
  </si>
  <si>
    <t xml:space="preserve">Дата рождения: </t>
  </si>
  <si>
    <t xml:space="preserve">Жынысы/пол: </t>
  </si>
  <si>
    <t>жылсайын
ежегодно</t>
  </si>
  <si>
    <t>жарты жылсайын
раз в пол года</t>
  </si>
  <si>
    <t>тоқсансайын
ежеквартально</t>
  </si>
  <si>
    <t>айсайын
ежемесячно</t>
  </si>
  <si>
    <t>Аннуитеттік төлемінің мөлшері (теңге):
Размер аннуитетной выплаты (тенге):</t>
  </si>
  <si>
    <t>Аннуитеттік төлемдерінің басталу күні:
Дата начала аннуитетных выплат:</t>
  </si>
  <si>
    <t>Аннуитеттік төлемдерінің аяқталу күні:
Дата окончания аннуитетных выплат:</t>
  </si>
  <si>
    <t>Сақтандыру сыйлықақысының мөлшері (теңге):
Размер страховой премии (тенге):</t>
  </si>
  <si>
    <t>ФИО Агента</t>
  </si>
  <si>
    <t>Вид аннуитетных выплат</t>
  </si>
  <si>
    <t>индексация:</t>
  </si>
  <si>
    <t>Возраст Застрахованного</t>
  </si>
  <si>
    <t>Срок страхования</t>
  </si>
  <si>
    <t>(года, месяца, дни)</t>
  </si>
  <si>
    <t>с</t>
  </si>
  <si>
    <t>по</t>
  </si>
  <si>
    <t>Выкупная из иных КСЖ</t>
  </si>
  <si>
    <t>Номер договора</t>
  </si>
  <si>
    <t xml:space="preserve">Дата рождения выгодоприобретателя </t>
  </si>
  <si>
    <t>Номер документа</t>
  </si>
  <si>
    <t>Дата выдачи документа</t>
  </si>
  <si>
    <t>Дата окончания аннуитетных выплат</t>
  </si>
  <si>
    <t>Нет</t>
  </si>
  <si>
    <t>Список КСЖ</t>
  </si>
  <si>
    <t>Дата договора</t>
  </si>
  <si>
    <t>Выкупная сумма</t>
  </si>
  <si>
    <t>Итого</t>
  </si>
  <si>
    <t>«Мемлекеттік аннуитеттік компания» Өмірді сақтандыру компаниясы» АҚ</t>
  </si>
  <si>
    <t>АО «ДКСЖ БТА Банка «БТА Жизнь»</t>
  </si>
  <si>
    <t>АО «Дочерняя компания по страхованию жизни БТА Банка «БТА Жизнь»</t>
  </si>
  <si>
    <t>«БТА Өмір» БТА Банкінің өмірді сақтандыру жөніндегі еншілес компаниясы» АҚ</t>
  </si>
  <si>
    <t>АО «КСЖ «Государственная аннуитетная компания»</t>
  </si>
  <si>
    <t>АО «Компания по страхованию жизни «Государственная аннуитетная компания»</t>
  </si>
  <si>
    <t>АО «ДК НБКСЖ «Халык-Life»</t>
  </si>
  <si>
    <t>АО «Дочерняя компания Народного Банка Казахстана по страхованию жизни «Халык-Life»</t>
  </si>
  <si>
    <t>АО «КСЖ «Казкоммерц-Life»</t>
  </si>
  <si>
    <t xml:space="preserve">АО «Компания по страхованию жизни «Казкоммерц-Life» (ДО АО «Казкоммерцбанк») </t>
  </si>
  <si>
    <t>АО «КСЖ «НОМАД LIFE»</t>
  </si>
  <si>
    <t>АО «Компания по страхованию жизни «НОМАД LIFE»</t>
  </si>
  <si>
    <t>«НОМАД LIFE» Өмірді Сақтандыру компаниясы» АҚ</t>
  </si>
  <si>
    <t>АО «КСЖ «Grandes»</t>
  </si>
  <si>
    <t>АО «Компания по страхованию жизни «Grandes»</t>
  </si>
  <si>
    <t>АО «КСЖ «Европейская Страховая Компания»</t>
  </si>
  <si>
    <t>«Grandes» өмірді сақтандыру компаниясы» АҚ</t>
  </si>
  <si>
    <t>«Еуропалық Сақтандыру Компаниясы» өмірді сақтандыру компаниясы» АҚ</t>
  </si>
  <si>
    <t>«Казкоммерц-Life» өмірді сақтандыру компаниясы» АҚ («Казкоммерцбанк» АҚ-ның еңшілес ұйымы)</t>
  </si>
  <si>
    <t>АО «Компания по Страхованию Жизни «Европейская Страховая Компания»</t>
  </si>
  <si>
    <t>«Қазақстан Халық Банкі Еншілес ұйымы «Халық-Life» АҚ</t>
  </si>
  <si>
    <t>ATYNKZKA</t>
  </si>
  <si>
    <t>АО "Altyn Bank" (ДБ АО "Народный Банк Казахстана")</t>
  </si>
  <si>
    <t>"Altyn Bank" АҚ ("Қазақстан Халық Банкі" АҚ ЕБ )</t>
  </si>
  <si>
    <t>АО "Альянс Банк"</t>
  </si>
  <si>
    <t>Дата подписания полиса (дата расчета)</t>
  </si>
  <si>
    <t>Удостоверение личности РК</t>
  </si>
  <si>
    <t>МВД Республики Казахстан</t>
  </si>
  <si>
    <t>«Астана банкі» АҚ</t>
  </si>
  <si>
    <t>АО «Банк Астаны»</t>
  </si>
  <si>
    <t>МЮ РК</t>
  </si>
  <si>
    <t>МВД РК</t>
  </si>
  <si>
    <t>Министерство Юстиции</t>
  </si>
  <si>
    <t>Министерство Юстиции Республики Казахстан</t>
  </si>
  <si>
    <t>Министерство Юстиции РК</t>
  </si>
  <si>
    <t>Қазақстан Республикасы ІІМ</t>
  </si>
  <si>
    <t>Иное</t>
  </si>
  <si>
    <t>ҚР ӘМ</t>
  </si>
  <si>
    <t>ҚР ІІМ</t>
  </si>
  <si>
    <t>Қазақстан Республикасының ІІМ</t>
  </si>
  <si>
    <t>Әділет Министрлігі</t>
  </si>
  <si>
    <t>Қазақстан Республикасының Әділет Министрлігі</t>
  </si>
  <si>
    <t>ҚР Әділет Министрлігі</t>
  </si>
  <si>
    <t xml:space="preserve">Индивидуальный подоходный налог с аннуитетной выплаты
</t>
  </si>
  <si>
    <t xml:space="preserve">Сақтандыру төлемдерінің кестесі/График страховых выплат
</t>
  </si>
  <si>
    <t>Төлеу күні/Дата выплаты</t>
  </si>
  <si>
    <t>Мерзімдік сақтандыру төлемінің мөлшері (теңге)/Размер периодичной страховой выплаты (тенге)</t>
  </si>
  <si>
    <t xml:space="preserve">Величина средств, недостаточных </t>
  </si>
  <si>
    <t xml:space="preserve">для заключения договора </t>
  </si>
  <si>
    <t>Актуарий</t>
  </si>
  <si>
    <t>ТАЖ / ФИО</t>
  </si>
  <si>
    <t xml:space="preserve">ФИО Застрахованного </t>
  </si>
  <si>
    <t>Сатып алу сомасының мөлшері (теңге) /Размер выкупной суммы (тенге)</t>
  </si>
  <si>
    <t>Результаты через 2 года:</t>
  </si>
  <si>
    <t>минимальная пенсия</t>
  </si>
  <si>
    <t>Остаток премии</t>
  </si>
  <si>
    <t>для заключения нового договора</t>
  </si>
  <si>
    <t>Выкупная через 2 года достаточна</t>
  </si>
  <si>
    <t>Гарантированный период</t>
  </si>
  <si>
    <t>Расход от премии для выкупной суммы</t>
  </si>
  <si>
    <t>АО «Компания по страхованию жизни «Freedom Finance Life»</t>
  </si>
  <si>
    <t>Итого аннуитетная выплата после налогооблажения и ОВ ФСМС</t>
  </si>
  <si>
    <t>Возраст на начало выплат</t>
  </si>
  <si>
    <t>Крайные даты</t>
  </si>
  <si>
    <t>х</t>
  </si>
  <si>
    <t>для ОППВ</t>
  </si>
  <si>
    <t>для муж</t>
  </si>
  <si>
    <t>Дата начало анн</t>
  </si>
  <si>
    <t>для жен</t>
  </si>
  <si>
    <t>возраст раннего получения выплат</t>
  </si>
  <si>
    <t>мин Дата для начало отл анн</t>
  </si>
  <si>
    <t>Дата начало отл анн</t>
  </si>
  <si>
    <t>аф с учетом дисконта и дожития от х до х0</t>
  </si>
  <si>
    <t>индексация первой выплаты</t>
  </si>
  <si>
    <t>аннуитетный фактор, нетто(годовой)</t>
  </si>
  <si>
    <t>аннуитетный фактор(периодический)</t>
  </si>
  <si>
    <t>немедленный пожизненный</t>
  </si>
  <si>
    <t>отложенный пожизненный</t>
  </si>
  <si>
    <t>немедленный срочный</t>
  </si>
  <si>
    <t>возраст первой выплаты по старому закону</t>
  </si>
  <si>
    <t>возраст первой выплаты по новому закон от 01.01.2021</t>
  </si>
  <si>
    <t>Кол. Мес., за которые уплачены ОППВ</t>
  </si>
  <si>
    <t>Да</t>
  </si>
  <si>
    <t>Проф. взносы в ВС</t>
  </si>
  <si>
    <t>пришел с иной КСЖ как ОППВ</t>
  </si>
  <si>
    <t>ПМ</t>
  </si>
  <si>
    <t>Дата изменений</t>
  </si>
  <si>
    <t>Описание изменения</t>
  </si>
  <si>
    <t>1) Исправлена ошибка при дате заключения = дате рождения +1. Дата последней выплаты выводила #ЧИСЛО;
2) В графике выплат индексация вместо харда установлена ссылкой на ячейку.</t>
  </si>
  <si>
    <t>Р</t>
  </si>
  <si>
    <t>Индексация</t>
  </si>
  <si>
    <t>Ставка дисконтирования</t>
  </si>
  <si>
    <t>версия 20.03</t>
  </si>
  <si>
    <t>Таблицы смертности</t>
  </si>
  <si>
    <t>Стандартная</t>
  </si>
  <si>
    <t>90-100%M</t>
  </si>
  <si>
    <t>90-100%F</t>
  </si>
  <si>
    <t>60-89%M</t>
  </si>
  <si>
    <t>60-89%F</t>
  </si>
  <si>
    <t>30-59%M</t>
  </si>
  <si>
    <t>30-59%F</t>
  </si>
  <si>
    <t>5-29%M</t>
  </si>
  <si>
    <t>5-29%F</t>
  </si>
  <si>
    <t>Без инвалидности</t>
  </si>
  <si>
    <t>Третья группа инвалидности бессрочно</t>
  </si>
  <si>
    <t>Вторая группа инвалидности бессрочно</t>
  </si>
  <si>
    <t>Первая группа инвалидности бессрочно</t>
  </si>
  <si>
    <t>Физическое состояние</t>
  </si>
  <si>
    <t>за счет собственных средств</t>
  </si>
  <si>
    <t>Минимальная сумма премии:</t>
  </si>
  <si>
    <t>Дивиденды</t>
  </si>
  <si>
    <t>дивиденд:</t>
  </si>
  <si>
    <t>Размер дивиденда</t>
  </si>
  <si>
    <t>Сақтандыру дивидендтерің төлеу кестесі/График выплат страховых дивидендов</t>
  </si>
  <si>
    <t xml:space="preserve"> Қолданыстағы заңнамада көзделген салықтар мен міндетті төлемдерді шегергендегі сақтандыру дивидендтерін (теңге) біржолғы төлеу мөлшері / Размер единовременной выплаты страховых дивидендов (тенге) за вычетом налогов и обязательных платежей предусмотренных действующим законодательством</t>
  </si>
  <si>
    <t>Зейнетақы аннуитеті шарты бойынша сақтандыру сыйлықақысының сомасы сақтандыру ұйымына аударылған сәттен бастап он жұмыс күнінен кешіктірілмей /не позднее десяти рабочих дней с момента перевода суммы страховой премии в страховую организацию по договору пенсионного аннуитета</t>
  </si>
  <si>
    <t>Добавлены МЗП, МРП на 2026 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</si>
</sst>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.00\ _₽_-;\-* #,##0.00\ _₽_-;_-* &quot;-&quot;??\ _₽_-;_-@_-"/>
    <numFmt numFmtId="165" formatCode="_-* #,##0_р_._-;\-* #,##0_р_._-;_-* &quot;-&quot;_р_._-;_-@_-"/>
    <numFmt numFmtId="166" formatCode="_-* #,##0.00_р_._-;\-* #,##0.00_р_._-;_-* &quot;-&quot;??_р_._-;_-@_-"/>
    <numFmt numFmtId="167" formatCode="_-* #,##0_р_._-;\-* #,##0_р_._-;_-* &quot;-&quot;??_р_._-;_-@_-"/>
    <numFmt numFmtId="168" formatCode="0.0000"/>
    <numFmt numFmtId="169" formatCode="_-* #,##0.0000_р_._-;\-* #,##0.0000_р_._-;_-* &quot;-&quot;??_р_._-;_-@_-"/>
    <numFmt numFmtId="170" formatCode="#,##0_ ;\-#,##0\ "/>
    <numFmt numFmtId="171" formatCode="_-* #,##0.0000_р_._-;\-* #,##0.0000_р_._-;_-* &quot;-&quot;????_р_._-;_-@_-"/>
    <numFmt numFmtId="172" formatCode="_-* #,##0.00_р_._-;\-* #,##0.00_р_._-;_-* &quot;-&quot;_р_._-;_-@_-"/>
    <numFmt numFmtId="173" formatCode="_-* #,##0.00000000_р_._-;\-* #,##0.00000000_р_._-;_-* &quot;-&quot;??_р_._-;_-@_-"/>
    <numFmt numFmtId="174" formatCode="_-* #,##0.00000000\ _₽_-;\-* #,##0.00000000\ _₽_-;_-* &quot;-&quot;????????\ _₽_-;_-@_-"/>
    <numFmt numFmtId="175" formatCode="0.0"/>
    <numFmt numFmtId="176" formatCode="_-* #,##0.0000\ _₽_-;\-* #,##0.0000\ _₽_-;_-* &quot;-&quot;????\ _₽_-;_-@_-"/>
    <numFmt numFmtId="177" formatCode="0.000"/>
    <numFmt numFmtId="178" formatCode="0.000%"/>
    <numFmt numFmtId="179" formatCode="0.000000"/>
    <numFmt numFmtId="180" formatCode="0.00000"/>
    <numFmt numFmtId="181" formatCode="0.0%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 Cyr"/>
      <charset val="204"/>
    </font>
    <font>
      <sz val="8"/>
      <color rgb="FFFF0000"/>
      <name val="Arial Cyr"/>
      <charset val="204"/>
    </font>
    <font>
      <sz val="10"/>
      <name val="Arial Cyr"/>
      <charset val="204"/>
    </font>
    <font>
      <b/>
      <sz val="14"/>
      <name val="MS Sans Serif"/>
      <family val="2"/>
    </font>
    <font>
      <sz val="11"/>
      <name val="Calibri"/>
      <family val="2"/>
      <charset val="204"/>
    </font>
    <font>
      <sz val="11"/>
      <color indexed="8"/>
      <name val="Times New Roman"/>
      <family val="1"/>
      <charset val="204"/>
    </font>
    <font>
      <u/>
      <sz val="10"/>
      <color indexed="12"/>
      <name val="Arial Cyr"/>
      <charset val="204"/>
    </font>
    <font>
      <b/>
      <sz val="11"/>
      <color indexed="8"/>
      <name val="Times New Roman"/>
      <family val="1"/>
      <charset val="204"/>
    </font>
    <font>
      <b/>
      <sz val="8"/>
      <name val="Arial Unicode MS"/>
      <family val="2"/>
      <charset val="204"/>
    </font>
    <font>
      <b/>
      <sz val="10"/>
      <name val="Arial Unicode MS"/>
      <family val="2"/>
      <charset val="204"/>
    </font>
    <font>
      <b/>
      <sz val="7"/>
      <name val="Arial Unicode MS"/>
      <family val="2"/>
      <charset val="204"/>
    </font>
    <font>
      <b/>
      <sz val="11"/>
      <name val="Arial Unicode MS"/>
      <family val="2"/>
      <charset val="204"/>
    </font>
    <font>
      <sz val="10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2"/>
      <name val="Calibri"/>
      <family val="2"/>
      <charset val="204"/>
    </font>
    <font>
      <sz val="12"/>
      <name val="Calibri"/>
      <family val="2"/>
      <charset val="204"/>
    </font>
    <font>
      <sz val="9"/>
      <name val="Calibri"/>
      <family val="2"/>
      <charset val="204"/>
    </font>
    <font>
      <sz val="9"/>
      <name val="Calibri"/>
      <family val="2"/>
      <charset val="204"/>
      <scheme val="minor"/>
    </font>
    <font>
      <b/>
      <sz val="12"/>
      <name val="Arial Unicode MS"/>
      <family val="2"/>
      <charset val="204"/>
    </font>
    <font>
      <sz val="11"/>
      <color theme="1"/>
      <name val="Cambria"/>
      <family val="1"/>
      <charset val="204"/>
      <scheme val="major"/>
    </font>
    <font>
      <b/>
      <u/>
      <sz val="12"/>
      <color theme="1"/>
      <name val="Cambria"/>
      <family val="1"/>
      <charset val="204"/>
      <scheme val="major"/>
    </font>
    <font>
      <sz val="10"/>
      <color theme="1"/>
      <name val="Cambria"/>
      <family val="1"/>
      <charset val="204"/>
      <scheme val="major"/>
    </font>
    <font>
      <b/>
      <sz val="11"/>
      <color theme="1"/>
      <name val="Cambria"/>
      <family val="1"/>
      <charset val="204"/>
      <scheme val="major"/>
    </font>
    <font>
      <b/>
      <u/>
      <sz val="11"/>
      <color theme="1"/>
      <name val="Cambria"/>
      <family val="1"/>
      <charset val="204"/>
      <scheme val="major"/>
    </font>
    <font>
      <u/>
      <sz val="11"/>
      <color theme="1"/>
      <name val="Cambria"/>
      <family val="1"/>
      <charset val="204"/>
      <scheme val="major"/>
    </font>
    <font>
      <b/>
      <sz val="11"/>
      <color theme="1"/>
      <name val="Arial Unicode MS"/>
      <family val="2"/>
      <charset val="204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sz val="10"/>
      <color indexed="64"/>
      <name val="Arial"/>
      <family val="2"/>
    </font>
    <font>
      <b/>
      <sz val="11"/>
      <color theme="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B0F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7">
    <xf numFmtId="0" fontId="0" fillId="0" borderId="0"/>
    <xf numFmtId="166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2" fillId="0" borderId="0"/>
    <xf numFmtId="1" fontId="13" fillId="5" borderId="0"/>
    <xf numFmtId="0" fontId="16" fillId="0" borderId="0" applyNumberFormat="0" applyFill="0" applyBorder="0" applyAlignment="0" applyProtection="0">
      <alignment vertical="top"/>
      <protection locked="0"/>
    </xf>
    <xf numFmtId="9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00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0" fontId="0" fillId="0" borderId="1" xfId="0" applyBorder="1"/>
    <xf numFmtId="0" fontId="10" fillId="3" borderId="0" xfId="0" applyFont="1" applyFill="1"/>
    <xf numFmtId="14" fontId="11" fillId="3" borderId="0" xfId="0" applyNumberFormat="1" applyFont="1" applyFill="1"/>
    <xf numFmtId="167" fontId="10" fillId="3" borderId="0" xfId="1" applyNumberFormat="1" applyFont="1" applyFill="1"/>
    <xf numFmtId="167" fontId="10" fillId="3" borderId="0" xfId="0" applyNumberFormat="1" applyFont="1" applyFill="1"/>
    <xf numFmtId="166" fontId="10" fillId="3" borderId="0" xfId="0" applyNumberFormat="1" applyFont="1" applyFill="1"/>
    <xf numFmtId="14" fontId="10" fillId="3" borderId="0" xfId="0" applyNumberFormat="1" applyFont="1" applyFill="1"/>
    <xf numFmtId="14" fontId="0" fillId="0" borderId="0" xfId="0" applyNumberFormat="1"/>
    <xf numFmtId="0" fontId="0" fillId="2" borderId="6" xfId="0" applyFill="1" applyBorder="1" applyAlignment="1">
      <alignment horizontal="center"/>
    </xf>
    <xf numFmtId="168" fontId="0" fillId="2" borderId="0" xfId="0" applyNumberFormat="1" applyFill="1"/>
    <xf numFmtId="0" fontId="0" fillId="4" borderId="0" xfId="0" applyFill="1"/>
    <xf numFmtId="169" fontId="0" fillId="4" borderId="0" xfId="1" applyNumberFormat="1" applyFont="1" applyFill="1"/>
    <xf numFmtId="166" fontId="0" fillId="4" borderId="0" xfId="1" applyFont="1" applyFill="1"/>
    <xf numFmtId="0" fontId="10" fillId="3" borderId="1" xfId="0" applyFont="1" applyFill="1" applyBorder="1" applyAlignment="1">
      <alignment wrapText="1"/>
    </xf>
    <xf numFmtId="14" fontId="10" fillId="3" borderId="1" xfId="0" applyNumberFormat="1" applyFont="1" applyFill="1" applyBorder="1" applyAlignment="1">
      <alignment wrapText="1"/>
    </xf>
    <xf numFmtId="0" fontId="0" fillId="0" borderId="0" xfId="0" applyAlignment="1">
      <alignment horizontal="left"/>
    </xf>
    <xf numFmtId="14" fontId="0" fillId="0" borderId="1" xfId="0" applyNumberFormat="1" applyBorder="1"/>
    <xf numFmtId="0" fontId="0" fillId="0" borderId="1" xfId="2" applyNumberFormat="1" applyFont="1" applyBorder="1"/>
    <xf numFmtId="167" fontId="0" fillId="0" borderId="1" xfId="2" applyNumberFormat="1" applyFont="1" applyBorder="1"/>
    <xf numFmtId="166" fontId="0" fillId="4" borderId="0" xfId="0" applyNumberFormat="1" applyFill="1"/>
    <xf numFmtId="166" fontId="0" fillId="0" borderId="0" xfId="0" applyNumberFormat="1"/>
    <xf numFmtId="0" fontId="12" fillId="0" borderId="0" xfId="3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5" fillId="0" borderId="0" xfId="3" applyFont="1" applyAlignment="1">
      <alignment horizontal="right" wrapText="1"/>
    </xf>
    <xf numFmtId="0" fontId="16" fillId="0" borderId="0" xfId="5" applyAlignment="1" applyProtection="1">
      <alignment horizontal="right"/>
    </xf>
    <xf numFmtId="0" fontId="15" fillId="0" borderId="0" xfId="3" applyFont="1" applyAlignment="1">
      <alignment horizontal="right"/>
    </xf>
    <xf numFmtId="0" fontId="17" fillId="0" borderId="0" xfId="3" applyFont="1" applyAlignment="1">
      <alignment horizontal="center"/>
    </xf>
    <xf numFmtId="0" fontId="17" fillId="0" borderId="7" xfId="3" applyFont="1" applyBorder="1" applyAlignment="1">
      <alignment horizontal="center" vertical="top" wrapText="1"/>
    </xf>
    <xf numFmtId="0" fontId="17" fillId="0" borderId="9" xfId="3" applyFont="1" applyBorder="1" applyAlignment="1">
      <alignment horizontal="center" vertical="top" wrapText="1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center" vertical="center"/>
    </xf>
    <xf numFmtId="166" fontId="12" fillId="0" borderId="0" xfId="1" applyFont="1"/>
    <xf numFmtId="4" fontId="12" fillId="0" borderId="0" xfId="3" applyNumberFormat="1" applyAlignment="1">
      <alignment horizontal="center"/>
    </xf>
    <xf numFmtId="0" fontId="12" fillId="0" borderId="0" xfId="3" applyAlignment="1">
      <alignment wrapText="1"/>
    </xf>
    <xf numFmtId="0" fontId="15" fillId="0" borderId="0" xfId="3" applyFont="1" applyAlignment="1">
      <alignment horizontal="left" wrapText="1"/>
    </xf>
    <xf numFmtId="167" fontId="0" fillId="7" borderId="1" xfId="2" applyNumberFormat="1" applyFont="1" applyFill="1" applyBorder="1"/>
    <xf numFmtId="14" fontId="0" fillId="3" borderId="1" xfId="0" applyNumberFormat="1" applyFill="1" applyBorder="1"/>
    <xf numFmtId="0" fontId="17" fillId="0" borderId="0" xfId="3" applyFont="1" applyAlignment="1">
      <alignment horizontal="center" vertical="top" wrapText="1"/>
    </xf>
    <xf numFmtId="9" fontId="0" fillId="4" borderId="0" xfId="0" applyNumberFormat="1" applyFill="1"/>
    <xf numFmtId="166" fontId="12" fillId="0" borderId="0" xfId="3" applyNumberFormat="1"/>
    <xf numFmtId="167" fontId="0" fillId="0" borderId="0" xfId="0" applyNumberFormat="1"/>
    <xf numFmtId="0" fontId="22" fillId="0" borderId="0" xfId="0" applyFont="1"/>
    <xf numFmtId="0" fontId="19" fillId="0" borderId="0" xfId="0" applyFont="1" applyAlignment="1" applyProtection="1">
      <alignment horizontal="left"/>
      <protection hidden="1"/>
    </xf>
    <xf numFmtId="0" fontId="18" fillId="0" borderId="0" xfId="0" applyFont="1" applyProtection="1">
      <protection hidden="1"/>
    </xf>
    <xf numFmtId="0" fontId="23" fillId="0" borderId="0" xfId="0" applyFont="1" applyAlignment="1">
      <alignment vertical="center"/>
    </xf>
    <xf numFmtId="0" fontId="20" fillId="0" borderId="0" xfId="0" applyFont="1" applyProtection="1">
      <protection hidden="1"/>
    </xf>
    <xf numFmtId="0" fontId="21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3" fillId="0" borderId="0" xfId="0" applyFont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2" fillId="0" borderId="6" xfId="0" applyFont="1" applyBorder="1" applyAlignment="1">
      <alignment wrapText="1"/>
    </xf>
    <xf numFmtId="0" fontId="0" fillId="0" borderId="6" xfId="0" applyBorder="1"/>
    <xf numFmtId="0" fontId="0" fillId="0" borderId="8" xfId="0" applyBorder="1"/>
    <xf numFmtId="167" fontId="25" fillId="0" borderId="0" xfId="1" applyNumberFormat="1" applyFont="1" applyFill="1" applyBorder="1" applyAlignment="1">
      <alignment horizontal="center" vertical="center"/>
    </xf>
    <xf numFmtId="0" fontId="24" fillId="0" borderId="0" xfId="0" applyFont="1"/>
    <xf numFmtId="170" fontId="25" fillId="0" borderId="0" xfId="1" applyNumberFormat="1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1" xfId="0" applyBorder="1"/>
    <xf numFmtId="14" fontId="19" fillId="0" borderId="0" xfId="0" applyNumberFormat="1" applyFont="1" applyAlignment="1" applyProtection="1">
      <alignment horizontal="center" vertical="center"/>
      <protection hidden="1"/>
    </xf>
    <xf numFmtId="0" fontId="24" fillId="0" borderId="0" xfId="0" applyFont="1" applyAlignment="1">
      <alignment horizont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left" vertical="center" wrapText="1"/>
    </xf>
    <xf numFmtId="0" fontId="19" fillId="0" borderId="0" xfId="0" applyFont="1" applyAlignment="1" applyProtection="1">
      <alignment vertical="center"/>
      <protection hidden="1"/>
    </xf>
    <xf numFmtId="4" fontId="30" fillId="0" borderId="0" xfId="0" applyNumberFormat="1" applyFont="1" applyAlignment="1">
      <alignment horizontal="center" vertical="top" wrapText="1"/>
    </xf>
    <xf numFmtId="0" fontId="31" fillId="0" borderId="0" xfId="0" applyFont="1"/>
    <xf numFmtId="0" fontId="30" fillId="0" borderId="0" xfId="0" applyFont="1" applyAlignment="1">
      <alignment wrapText="1"/>
    </xf>
    <xf numFmtId="0" fontId="30" fillId="0" borderId="0" xfId="0" applyFont="1" applyAlignment="1">
      <alignment horizontal="center" vertical="center" wrapText="1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171" fontId="0" fillId="0" borderId="0" xfId="0" applyNumberFormat="1"/>
    <xf numFmtId="0" fontId="33" fillId="9" borderId="13" xfId="0" applyFont="1" applyFill="1" applyBorder="1" applyAlignment="1">
      <alignment horizontal="left"/>
    </xf>
    <xf numFmtId="0" fontId="33" fillId="9" borderId="14" xfId="0" applyFont="1" applyFill="1" applyBorder="1"/>
    <xf numFmtId="0" fontId="33" fillId="9" borderId="18" xfId="0" applyFont="1" applyFill="1" applyBorder="1"/>
    <xf numFmtId="0" fontId="33" fillId="9" borderId="0" xfId="0" applyFont="1" applyFill="1" applyAlignment="1">
      <alignment horizontal="center"/>
    </xf>
    <xf numFmtId="0" fontId="33" fillId="9" borderId="15" xfId="0" applyFont="1" applyFill="1" applyBorder="1"/>
    <xf numFmtId="0" fontId="33" fillId="3" borderId="0" xfId="0" applyFont="1" applyFill="1"/>
    <xf numFmtId="0" fontId="33" fillId="9" borderId="0" xfId="0" applyFont="1" applyFill="1"/>
    <xf numFmtId="0" fontId="33" fillId="9" borderId="8" xfId="0" applyFont="1" applyFill="1" applyBorder="1"/>
    <xf numFmtId="0" fontId="33" fillId="9" borderId="6" xfId="0" applyFont="1" applyFill="1" applyBorder="1"/>
    <xf numFmtId="0" fontId="33" fillId="9" borderId="19" xfId="0" applyFont="1" applyFill="1" applyBorder="1"/>
    <xf numFmtId="0" fontId="33" fillId="9" borderId="0" xfId="0" applyFont="1" applyFill="1" applyAlignment="1">
      <alignment horizontal="center" vertical="center"/>
    </xf>
    <xf numFmtId="166" fontId="33" fillId="9" borderId="24" xfId="0" applyNumberFormat="1" applyFont="1" applyFill="1" applyBorder="1"/>
    <xf numFmtId="166" fontId="33" fillId="3" borderId="0" xfId="0" applyNumberFormat="1" applyFont="1" applyFill="1"/>
    <xf numFmtId="166" fontId="33" fillId="3" borderId="0" xfId="1" applyFont="1" applyFill="1"/>
    <xf numFmtId="166" fontId="33" fillId="9" borderId="8" xfId="0" applyNumberFormat="1" applyFont="1" applyFill="1" applyBorder="1"/>
    <xf numFmtId="14" fontId="33" fillId="9" borderId="8" xfId="0" applyNumberFormat="1" applyFont="1" applyFill="1" applyBorder="1"/>
    <xf numFmtId="14" fontId="33" fillId="3" borderId="0" xfId="0" applyNumberFormat="1" applyFont="1" applyFill="1"/>
    <xf numFmtId="0" fontId="33" fillId="9" borderId="16" xfId="0" applyFont="1" applyFill="1" applyBorder="1"/>
    <xf numFmtId="0" fontId="33" fillId="9" borderId="17" xfId="0" applyFont="1" applyFill="1" applyBorder="1"/>
    <xf numFmtId="0" fontId="33" fillId="9" borderId="11" xfId="0" applyFont="1" applyFill="1" applyBorder="1"/>
    <xf numFmtId="0" fontId="36" fillId="9" borderId="6" xfId="0" applyFont="1" applyFill="1" applyBorder="1" applyAlignment="1">
      <alignment horizontal="right" indent="1"/>
    </xf>
    <xf numFmtId="0" fontId="33" fillId="9" borderId="6" xfId="0" applyFont="1" applyFill="1" applyBorder="1" applyAlignment="1">
      <alignment horizontal="right" indent="1"/>
    </xf>
    <xf numFmtId="14" fontId="33" fillId="6" borderId="1" xfId="0" applyNumberFormat="1" applyFont="1" applyFill="1" applyBorder="1" applyAlignment="1" applyProtection="1">
      <alignment horizontal="center" vertical="center"/>
      <protection hidden="1"/>
    </xf>
    <xf numFmtId="0" fontId="33" fillId="9" borderId="19" xfId="0" applyFont="1" applyFill="1" applyBorder="1" applyAlignment="1">
      <alignment horizontal="right"/>
    </xf>
    <xf numFmtId="0" fontId="33" fillId="9" borderId="0" xfId="0" applyFont="1" applyFill="1" applyAlignment="1" applyProtection="1">
      <alignment horizontal="left"/>
      <protection hidden="1"/>
    </xf>
    <xf numFmtId="0" fontId="33" fillId="9" borderId="0" xfId="0" applyFont="1" applyFill="1" applyProtection="1">
      <protection hidden="1"/>
    </xf>
    <xf numFmtId="9" fontId="33" fillId="6" borderId="1" xfId="0" applyNumberFormat="1" applyFont="1" applyFill="1" applyBorder="1" applyAlignment="1" applyProtection="1">
      <alignment horizontal="center" vertical="center"/>
      <protection hidden="1"/>
    </xf>
    <xf numFmtId="0" fontId="33" fillId="9" borderId="21" xfId="0" applyFont="1" applyFill="1" applyBorder="1" applyProtection="1">
      <protection hidden="1"/>
    </xf>
    <xf numFmtId="167" fontId="33" fillId="6" borderId="1" xfId="0" applyNumberFormat="1" applyFont="1" applyFill="1" applyBorder="1" applyAlignment="1" applyProtection="1">
      <alignment horizontal="center" vertical="center"/>
      <protection hidden="1"/>
    </xf>
    <xf numFmtId="14" fontId="33" fillId="9" borderId="0" xfId="0" applyNumberFormat="1" applyFont="1" applyFill="1" applyProtection="1">
      <protection hidden="1"/>
    </xf>
    <xf numFmtId="166" fontId="33" fillId="9" borderId="21" xfId="0" applyNumberFormat="1" applyFont="1" applyFill="1" applyBorder="1" applyProtection="1">
      <protection hidden="1"/>
    </xf>
    <xf numFmtId="166" fontId="33" fillId="9" borderId="0" xfId="0" applyNumberFormat="1" applyFont="1" applyFill="1" applyProtection="1">
      <protection hidden="1"/>
    </xf>
    <xf numFmtId="0" fontId="33" fillId="10" borderId="25" xfId="0" applyFont="1" applyFill="1" applyBorder="1"/>
    <xf numFmtId="0" fontId="33" fillId="10" borderId="26" xfId="0" applyFont="1" applyFill="1" applyBorder="1"/>
    <xf numFmtId="0" fontId="33" fillId="10" borderId="27" xfId="0" applyFont="1" applyFill="1" applyBorder="1"/>
    <xf numFmtId="0" fontId="34" fillId="10" borderId="28" xfId="0" applyFont="1" applyFill="1" applyBorder="1" applyAlignment="1">
      <alignment horizontal="center" vertical="center"/>
    </xf>
    <xf numFmtId="0" fontId="33" fillId="10" borderId="0" xfId="0" applyFont="1" applyFill="1"/>
    <xf numFmtId="0" fontId="33" fillId="10" borderId="0" xfId="0" applyFont="1" applyFill="1" applyAlignment="1">
      <alignment horizontal="center" vertical="center"/>
    </xf>
    <xf numFmtId="0" fontId="33" fillId="10" borderId="19" xfId="0" applyFont="1" applyFill="1" applyBorder="1"/>
    <xf numFmtId="0" fontId="33" fillId="10" borderId="28" xfId="0" applyFont="1" applyFill="1" applyBorder="1"/>
    <xf numFmtId="0" fontId="33" fillId="10" borderId="28" xfId="0" applyFont="1" applyFill="1" applyBorder="1" applyAlignment="1">
      <alignment horizontal="center" vertical="center"/>
    </xf>
    <xf numFmtId="0" fontId="33" fillId="10" borderId="28" xfId="0" applyFont="1" applyFill="1" applyBorder="1" applyAlignment="1">
      <alignment vertical="center"/>
    </xf>
    <xf numFmtId="0" fontId="33" fillId="10" borderId="0" xfId="0" applyFont="1" applyFill="1" applyAlignment="1">
      <alignment vertical="top"/>
    </xf>
    <xf numFmtId="0" fontId="33" fillId="10" borderId="0" xfId="0" applyFont="1" applyFill="1" applyAlignment="1">
      <alignment horizontal="right"/>
    </xf>
    <xf numFmtId="0" fontId="33" fillId="10" borderId="0" xfId="0" applyFont="1" applyFill="1" applyAlignment="1">
      <alignment horizontal="center"/>
    </xf>
    <xf numFmtId="0" fontId="33" fillId="10" borderId="28" xfId="0" applyFont="1" applyFill="1" applyBorder="1" applyAlignment="1">
      <alignment horizontal="right"/>
    </xf>
    <xf numFmtId="0" fontId="33" fillId="6" borderId="1" xfId="0" applyFont="1" applyFill="1" applyBorder="1" applyProtection="1">
      <protection hidden="1"/>
    </xf>
    <xf numFmtId="0" fontId="33" fillId="10" borderId="28" xfId="0" applyFont="1" applyFill="1" applyBorder="1" applyAlignment="1">
      <alignment horizontal="center" vertical="center" wrapText="1"/>
    </xf>
    <xf numFmtId="0" fontId="33" fillId="10" borderId="0" xfId="0" applyFont="1" applyFill="1" applyAlignment="1">
      <alignment horizontal="center" vertical="center" wrapText="1"/>
    </xf>
    <xf numFmtId="0" fontId="33" fillId="10" borderId="5" xfId="0" applyFont="1" applyFill="1" applyBorder="1" applyAlignment="1">
      <alignment horizontal="center" vertical="center" wrapText="1"/>
    </xf>
    <xf numFmtId="0" fontId="33" fillId="10" borderId="0" xfId="0" applyFont="1" applyFill="1" applyAlignment="1">
      <alignment horizontal="center" vertical="top" wrapText="1"/>
    </xf>
    <xf numFmtId="0" fontId="33" fillId="10" borderId="29" xfId="0" applyFont="1" applyFill="1" applyBorder="1"/>
    <xf numFmtId="0" fontId="33" fillId="10" borderId="5" xfId="0" applyFont="1" applyFill="1" applyBorder="1"/>
    <xf numFmtId="0" fontId="33" fillId="10" borderId="30" xfId="0" applyFont="1" applyFill="1" applyBorder="1"/>
    <xf numFmtId="10" fontId="9" fillId="2" borderId="0" xfId="0" applyNumberFormat="1" applyFont="1" applyFill="1"/>
    <xf numFmtId="166" fontId="33" fillId="0" borderId="1" xfId="1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4" fontId="33" fillId="0" borderId="1" xfId="0" applyNumberFormat="1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top" wrapText="1"/>
    </xf>
    <xf numFmtId="3" fontId="24" fillId="0" borderId="0" xfId="0" applyNumberFormat="1" applyFont="1" applyAlignment="1">
      <alignment horizontal="center" vertical="center" wrapText="1"/>
    </xf>
    <xf numFmtId="4" fontId="0" fillId="0" borderId="0" xfId="0" applyNumberFormat="1"/>
    <xf numFmtId="0" fontId="33" fillId="9" borderId="0" xfId="0" applyFont="1" applyFill="1" applyAlignment="1" applyProtection="1">
      <alignment horizontal="center" vertical="top"/>
      <protection hidden="1"/>
    </xf>
    <xf numFmtId="9" fontId="0" fillId="0" borderId="0" xfId="2" applyFont="1"/>
    <xf numFmtId="166" fontId="0" fillId="0" borderId="0" xfId="1" applyFont="1"/>
    <xf numFmtId="0" fontId="33" fillId="0" borderId="1" xfId="0" applyFont="1" applyBorder="1" applyProtection="1">
      <protection locked="0"/>
    </xf>
    <xf numFmtId="49" fontId="33" fillId="0" borderId="1" xfId="0" applyNumberFormat="1" applyFont="1" applyBorder="1" applyAlignment="1" applyProtection="1">
      <alignment horizontal="center" vertical="center"/>
      <protection locked="0"/>
    </xf>
    <xf numFmtId="49" fontId="33" fillId="0" borderId="1" xfId="0" applyNumberFormat="1" applyFont="1" applyBorder="1" applyAlignment="1" applyProtection="1">
      <alignment horizontal="left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49" fontId="33" fillId="0" borderId="1" xfId="0" applyNumberFormat="1" applyFont="1" applyBorder="1" applyProtection="1">
      <protection locked="0"/>
    </xf>
    <xf numFmtId="0" fontId="33" fillId="0" borderId="1" xfId="0" applyFont="1" applyBorder="1" applyAlignment="1" applyProtection="1">
      <alignment horizontal="center" vertical="top" wrapText="1"/>
      <protection locked="0"/>
    </xf>
    <xf numFmtId="14" fontId="33" fillId="0" borderId="1" xfId="0" applyNumberFormat="1" applyFont="1" applyBorder="1" applyAlignment="1" applyProtection="1">
      <alignment horizontal="center" vertical="top" wrapText="1"/>
      <protection locked="0"/>
    </xf>
    <xf numFmtId="49" fontId="33" fillId="0" borderId="1" xfId="0" applyNumberFormat="1" applyFont="1" applyBorder="1" applyAlignment="1" applyProtection="1">
      <alignment horizontal="left" vertical="center"/>
      <protection locked="0"/>
    </xf>
    <xf numFmtId="14" fontId="33" fillId="10" borderId="0" xfId="0" applyNumberFormat="1" applyFont="1" applyFill="1"/>
    <xf numFmtId="4" fontId="33" fillId="0" borderId="1" xfId="0" applyNumberFormat="1" applyFont="1" applyBorder="1" applyAlignment="1" applyProtection="1">
      <alignment horizontal="center" vertical="center"/>
      <protection locked="0"/>
    </xf>
    <xf numFmtId="4" fontId="33" fillId="10" borderId="0" xfId="0" applyNumberFormat="1" applyFont="1" applyFill="1" applyAlignment="1">
      <alignment horizontal="left"/>
    </xf>
    <xf numFmtId="0" fontId="33" fillId="0" borderId="1" xfId="0" applyFont="1" applyBorder="1" applyAlignment="1" applyProtection="1">
      <alignment horizontal="left" vertical="center"/>
      <protection locked="0"/>
    </xf>
    <xf numFmtId="14" fontId="33" fillId="0" borderId="1" xfId="0" applyNumberFormat="1" applyFont="1" applyBorder="1"/>
    <xf numFmtId="0" fontId="15" fillId="0" borderId="0" xfId="3" applyFont="1" applyAlignment="1">
      <alignment horizontal="center" vertical="center" wrapText="1"/>
    </xf>
    <xf numFmtId="172" fontId="0" fillId="0" borderId="0" xfId="0" applyNumberFormat="1"/>
    <xf numFmtId="164" fontId="40" fillId="0" borderId="0" xfId="0" applyNumberFormat="1" applyFont="1"/>
    <xf numFmtId="166" fontId="40" fillId="0" borderId="0" xfId="1" applyFont="1"/>
    <xf numFmtId="173" fontId="10" fillId="3" borderId="0" xfId="1" applyNumberFormat="1" applyFont="1" applyFill="1"/>
    <xf numFmtId="174" fontId="10" fillId="3" borderId="0" xfId="0" applyNumberFormat="1" applyFont="1" applyFill="1"/>
    <xf numFmtId="0" fontId="33" fillId="6" borderId="1" xfId="0" applyFont="1" applyFill="1" applyBorder="1" applyAlignment="1" applyProtection="1">
      <alignment horizontal="center"/>
      <protection hidden="1"/>
    </xf>
    <xf numFmtId="165" fontId="33" fillId="8" borderId="1" xfId="0" applyNumberFormat="1" applyFont="1" applyFill="1" applyBorder="1" applyAlignment="1" applyProtection="1">
      <alignment horizontal="center" vertical="center"/>
      <protection hidden="1"/>
    </xf>
    <xf numFmtId="0" fontId="0" fillId="6" borderId="0" xfId="0" applyFill="1"/>
    <xf numFmtId="0" fontId="33" fillId="0" borderId="1" xfId="0" applyFont="1" applyBorder="1" applyAlignment="1" applyProtection="1">
      <alignment horizontal="center" vertical="center"/>
      <protection hidden="1"/>
    </xf>
    <xf numFmtId="175" fontId="33" fillId="6" borderId="1" xfId="0" applyNumberFormat="1" applyFont="1" applyFill="1" applyBorder="1" applyAlignment="1" applyProtection="1">
      <alignment horizontal="center" vertical="center"/>
      <protection hidden="1"/>
    </xf>
    <xf numFmtId="0" fontId="33" fillId="9" borderId="0" xfId="0" applyFont="1" applyFill="1" applyAlignment="1" applyProtection="1">
      <alignment horizontal="center"/>
      <protection hidden="1"/>
    </xf>
    <xf numFmtId="14" fontId="33" fillId="9" borderId="0" xfId="0" applyNumberFormat="1" applyFont="1" applyFill="1" applyAlignment="1" applyProtection="1">
      <alignment horizontal="center" vertical="center"/>
      <protection hidden="1"/>
    </xf>
    <xf numFmtId="0" fontId="38" fillId="9" borderId="0" xfId="0" applyFont="1" applyFill="1" applyAlignment="1" applyProtection="1">
      <alignment horizontal="center"/>
      <protection hidden="1"/>
    </xf>
    <xf numFmtId="0" fontId="35" fillId="9" borderId="0" xfId="0" applyFont="1" applyFill="1" applyAlignment="1" applyProtection="1">
      <alignment horizontal="center" vertical="top"/>
      <protection hidden="1"/>
    </xf>
    <xf numFmtId="0" fontId="33" fillId="9" borderId="0" xfId="0" applyFont="1" applyFill="1" applyAlignment="1" applyProtection="1">
      <alignment horizontal="right" indent="1"/>
      <protection hidden="1"/>
    </xf>
    <xf numFmtId="0" fontId="33" fillId="9" borderId="0" xfId="0" applyFont="1" applyFill="1" applyAlignment="1" applyProtection="1">
      <alignment horizontal="right"/>
      <protection hidden="1"/>
    </xf>
    <xf numFmtId="0" fontId="33" fillId="9" borderId="0" xfId="0" applyFont="1" applyFill="1" applyAlignment="1" applyProtection="1">
      <alignment horizontal="right" vertical="top"/>
      <protection hidden="1"/>
    </xf>
    <xf numFmtId="0" fontId="36" fillId="9" borderId="0" xfId="0" applyFont="1" applyFill="1" applyAlignment="1" applyProtection="1">
      <alignment horizontal="right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 wrapText="1"/>
      <protection hidden="1"/>
    </xf>
    <xf numFmtId="167" fontId="33" fillId="9" borderId="23" xfId="1" applyNumberFormat="1" applyFont="1" applyFill="1" applyBorder="1" applyProtection="1">
      <protection hidden="1"/>
    </xf>
    <xf numFmtId="167" fontId="33" fillId="9" borderId="0" xfId="1" applyNumberFormat="1" applyFont="1" applyFill="1" applyBorder="1" applyProtection="1">
      <protection hidden="1"/>
    </xf>
    <xf numFmtId="10" fontId="33" fillId="9" borderId="0" xfId="0" applyNumberFormat="1" applyFont="1" applyFill="1" applyAlignment="1" applyProtection="1">
      <alignment horizontal="left"/>
      <protection hidden="1"/>
    </xf>
    <xf numFmtId="0" fontId="33" fillId="9" borderId="17" xfId="0" applyFont="1" applyFill="1" applyBorder="1" applyProtection="1">
      <protection hidden="1"/>
    </xf>
    <xf numFmtId="0" fontId="33" fillId="9" borderId="6" xfId="0" applyFont="1" applyFill="1" applyBorder="1" applyAlignment="1" applyProtection="1">
      <alignment horizontal="right" indent="1"/>
      <protection hidden="1"/>
    </xf>
    <xf numFmtId="0" fontId="33" fillId="9" borderId="6" xfId="0" applyFont="1" applyFill="1" applyBorder="1" applyProtection="1">
      <protection hidden="1"/>
    </xf>
    <xf numFmtId="0" fontId="37" fillId="9" borderId="6" xfId="0" applyFont="1" applyFill="1" applyBorder="1" applyAlignment="1" applyProtection="1">
      <alignment horizontal="center"/>
      <protection hidden="1"/>
    </xf>
    <xf numFmtId="166" fontId="33" fillId="6" borderId="1" xfId="0" applyNumberFormat="1" applyFont="1" applyFill="1" applyBorder="1" applyAlignment="1" applyProtection="1">
      <alignment horizontal="center"/>
      <protection hidden="1"/>
    </xf>
    <xf numFmtId="0" fontId="33" fillId="9" borderId="19" xfId="0" applyFont="1" applyFill="1" applyBorder="1" applyProtection="1">
      <protection hidden="1"/>
    </xf>
    <xf numFmtId="0" fontId="36" fillId="9" borderId="6" xfId="0" applyFont="1" applyFill="1" applyBorder="1" applyAlignment="1" applyProtection="1">
      <alignment horizontal="right" indent="1"/>
      <protection hidden="1"/>
    </xf>
    <xf numFmtId="9" fontId="33" fillId="9" borderId="19" xfId="0" applyNumberFormat="1" applyFont="1" applyFill="1" applyBorder="1" applyProtection="1">
      <protection hidden="1"/>
    </xf>
    <xf numFmtId="0" fontId="33" fillId="9" borderId="20" xfId="0" applyFont="1" applyFill="1" applyBorder="1" applyProtection="1">
      <protection hidden="1"/>
    </xf>
    <xf numFmtId="0" fontId="33" fillId="9" borderId="22" xfId="0" applyFont="1" applyFill="1" applyBorder="1" applyProtection="1">
      <protection hidden="1"/>
    </xf>
    <xf numFmtId="176" fontId="0" fillId="0" borderId="0" xfId="0" applyNumberFormat="1"/>
    <xf numFmtId="177" fontId="0" fillId="0" borderId="0" xfId="0" applyNumberFormat="1"/>
    <xf numFmtId="174" fontId="0" fillId="0" borderId="0" xfId="0" applyNumberFormat="1"/>
    <xf numFmtId="0" fontId="40" fillId="2" borderId="0" xfId="0" applyFont="1" applyFill="1"/>
    <xf numFmtId="10" fontId="41" fillId="2" borderId="0" xfId="0" applyNumberFormat="1" applyFont="1" applyFill="1"/>
    <xf numFmtId="3" fontId="0" fillId="0" borderId="0" xfId="0" applyNumberFormat="1"/>
    <xf numFmtId="0" fontId="33" fillId="9" borderId="28" xfId="0" applyFont="1" applyFill="1" applyBorder="1" applyProtection="1">
      <protection hidden="1"/>
    </xf>
    <xf numFmtId="0" fontId="33" fillId="9" borderId="25" xfId="0" applyFont="1" applyFill="1" applyBorder="1" applyProtection="1">
      <protection hidden="1"/>
    </xf>
    <xf numFmtId="14" fontId="33" fillId="9" borderId="26" xfId="0" applyNumberFormat="1" applyFont="1" applyFill="1" applyBorder="1" applyProtection="1">
      <protection hidden="1"/>
    </xf>
    <xf numFmtId="0" fontId="33" fillId="9" borderId="34" xfId="0" applyFont="1" applyFill="1" applyBorder="1"/>
    <xf numFmtId="0" fontId="33" fillId="9" borderId="26" xfId="0" applyFont="1" applyFill="1" applyBorder="1" applyProtection="1">
      <protection hidden="1"/>
    </xf>
    <xf numFmtId="166" fontId="33" fillId="9" borderId="21" xfId="0" applyNumberFormat="1" applyFont="1" applyFill="1" applyBorder="1" applyAlignment="1" applyProtection="1">
      <alignment horizontal="right"/>
      <protection hidden="1"/>
    </xf>
    <xf numFmtId="49" fontId="33" fillId="9" borderId="0" xfId="0" applyNumberFormat="1" applyFont="1" applyFill="1" applyAlignment="1">
      <alignment horizontal="right" indent="1"/>
    </xf>
    <xf numFmtId="0" fontId="10" fillId="3" borderId="1" xfId="0" applyFont="1" applyFill="1" applyBorder="1"/>
    <xf numFmtId="14" fontId="11" fillId="3" borderId="1" xfId="0" applyNumberFormat="1" applyFont="1" applyFill="1" applyBorder="1"/>
    <xf numFmtId="14" fontId="10" fillId="3" borderId="1" xfId="0" applyNumberFormat="1" applyFont="1" applyFill="1" applyBorder="1"/>
    <xf numFmtId="0" fontId="0" fillId="4" borderId="0" xfId="0" applyFill="1" applyAlignment="1">
      <alignment horizontal="right"/>
    </xf>
    <xf numFmtId="164" fontId="0" fillId="0" borderId="0" xfId="0" applyNumberFormat="1"/>
    <xf numFmtId="169" fontId="0" fillId="0" borderId="0" xfId="0" applyNumberFormat="1"/>
    <xf numFmtId="1" fontId="12" fillId="0" borderId="0" xfId="1" applyNumberFormat="1" applyFont="1" applyAlignment="1">
      <alignment horizontal="center"/>
    </xf>
    <xf numFmtId="1" fontId="15" fillId="0" borderId="0" xfId="3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left"/>
    </xf>
    <xf numFmtId="2" fontId="10" fillId="3" borderId="0" xfId="0" applyNumberFormat="1" applyFont="1" applyFill="1"/>
    <xf numFmtId="177" fontId="33" fillId="3" borderId="0" xfId="0" applyNumberFormat="1" applyFont="1" applyFill="1"/>
    <xf numFmtId="175" fontId="10" fillId="3" borderId="0" xfId="0" applyNumberFormat="1" applyFont="1" applyFill="1"/>
    <xf numFmtId="0" fontId="0" fillId="0" borderId="1" xfId="0" applyBorder="1" applyAlignment="1">
      <alignment horizontal="center"/>
    </xf>
    <xf numFmtId="166" fontId="0" fillId="0" borderId="1" xfId="2" applyNumberFormat="1" applyFont="1" applyBorder="1"/>
    <xf numFmtId="2" fontId="0" fillId="0" borderId="0" xfId="0" applyNumberFormat="1"/>
    <xf numFmtId="0" fontId="0" fillId="0" borderId="26" xfId="0" applyBorder="1"/>
    <xf numFmtId="0" fontId="0" fillId="0" borderId="28" xfId="0" applyBorder="1"/>
    <xf numFmtId="14" fontId="0" fillId="0" borderId="19" xfId="0" applyNumberFormat="1" applyBorder="1"/>
    <xf numFmtId="0" fontId="0" fillId="0" borderId="29" xfId="0" applyBorder="1"/>
    <xf numFmtId="14" fontId="0" fillId="0" borderId="5" xfId="0" applyNumberFormat="1" applyBorder="1"/>
    <xf numFmtId="0" fontId="0" fillId="0" borderId="5" xfId="0" applyBorder="1"/>
    <xf numFmtId="0" fontId="0" fillId="0" borderId="25" xfId="0" applyBorder="1"/>
    <xf numFmtId="14" fontId="0" fillId="0" borderId="27" xfId="0" applyNumberFormat="1" applyBorder="1"/>
    <xf numFmtId="0" fontId="0" fillId="0" borderId="26" xfId="0" applyBorder="1" applyAlignment="1">
      <alignment horizontal="right"/>
    </xf>
    <xf numFmtId="0" fontId="0" fillId="0" borderId="5" xfId="0" applyBorder="1" applyAlignment="1">
      <alignment horizontal="right"/>
    </xf>
    <xf numFmtId="14" fontId="0" fillId="0" borderId="30" xfId="1" applyNumberFormat="1" applyFont="1" applyBorder="1"/>
    <xf numFmtId="0" fontId="0" fillId="0" borderId="1" xfId="0" applyBorder="1" applyAlignment="1">
      <alignment horizontal="right"/>
    </xf>
    <xf numFmtId="177" fontId="0" fillId="4" borderId="0" xfId="0" applyNumberFormat="1" applyFill="1" applyAlignment="1">
      <alignment horizontal="left"/>
    </xf>
    <xf numFmtId="10" fontId="0" fillId="4" borderId="0" xfId="2" applyNumberFormat="1" applyFont="1" applyFill="1" applyAlignment="1">
      <alignment horizontal="left"/>
    </xf>
    <xf numFmtId="179" fontId="0" fillId="4" borderId="0" xfId="0" applyNumberFormat="1" applyFill="1" applyAlignment="1">
      <alignment horizontal="right"/>
    </xf>
    <xf numFmtId="0" fontId="0" fillId="0" borderId="1" xfId="2" applyNumberFormat="1" applyFont="1" applyFill="1" applyBorder="1"/>
    <xf numFmtId="0" fontId="0" fillId="0" borderId="0" xfId="0" applyAlignment="1">
      <alignment wrapText="1"/>
    </xf>
    <xf numFmtId="14" fontId="0" fillId="0" borderId="0" xfId="0" applyNumberFormat="1" applyAlignment="1">
      <alignment vertical="center"/>
    </xf>
    <xf numFmtId="9" fontId="33" fillId="3" borderId="1" xfId="0" applyNumberFormat="1" applyFont="1" applyFill="1" applyBorder="1" applyAlignment="1" applyProtection="1">
      <alignment horizontal="center" vertical="center"/>
      <protection locked="0"/>
    </xf>
    <xf numFmtId="9" fontId="0" fillId="0" borderId="1" xfId="0" applyNumberFormat="1" applyBorder="1"/>
    <xf numFmtId="14" fontId="15" fillId="0" borderId="10" xfId="3" applyNumberFormat="1" applyFont="1" applyBorder="1" applyAlignment="1" applyProtection="1">
      <alignment horizontal="center" vertical="center" wrapText="1"/>
      <protection hidden="1"/>
    </xf>
    <xf numFmtId="3" fontId="15" fillId="0" borderId="11" xfId="3" applyNumberFormat="1" applyFont="1" applyBorder="1" applyAlignment="1" applyProtection="1">
      <alignment horizontal="center" vertical="center" wrapText="1"/>
      <protection hidden="1"/>
    </xf>
    <xf numFmtId="180" fontId="45" fillId="0" borderId="0" xfId="0" applyNumberFormat="1" applyFont="1" applyAlignment="1">
      <alignment horizontal="center"/>
    </xf>
    <xf numFmtId="168" fontId="0" fillId="0" borderId="1" xfId="0" applyNumberFormat="1" applyBorder="1"/>
    <xf numFmtId="0" fontId="0" fillId="0" borderId="4" xfId="0" applyBorder="1"/>
    <xf numFmtId="167" fontId="33" fillId="9" borderId="28" xfId="1" applyNumberFormat="1" applyFont="1" applyFill="1" applyBorder="1" applyProtection="1">
      <protection hidden="1"/>
    </xf>
    <xf numFmtId="9" fontId="33" fillId="3" borderId="1" xfId="0" applyNumberFormat="1" applyFont="1" applyFill="1" applyBorder="1" applyAlignment="1" applyProtection="1">
      <alignment horizontal="left" vertical="center"/>
      <protection locked="0"/>
    </xf>
    <xf numFmtId="181" fontId="33" fillId="9" borderId="0" xfId="2" applyNumberFormat="1" applyFont="1" applyFill="1" applyAlignment="1" applyProtection="1">
      <alignment horizontal="center"/>
      <protection hidden="1"/>
    </xf>
    <xf numFmtId="3" fontId="33" fillId="3" borderId="0" xfId="0" applyNumberFormat="1" applyFont="1" applyFill="1" applyProtection="1">
      <protection hidden="1"/>
    </xf>
    <xf numFmtId="0" fontId="33" fillId="3" borderId="0" xfId="0" applyFont="1" applyFill="1" applyProtection="1">
      <protection hidden="1"/>
    </xf>
    <xf numFmtId="167" fontId="33" fillId="3" borderId="0" xfId="1" applyNumberFormat="1" applyFont="1" applyFill="1" applyProtection="1">
      <protection hidden="1"/>
    </xf>
    <xf numFmtId="14" fontId="15" fillId="0" borderId="0" xfId="3" applyNumberFormat="1" applyFont="1" applyAlignment="1" applyProtection="1">
      <alignment horizontal="center" vertical="center" wrapText="1"/>
      <protection hidden="1"/>
    </xf>
    <xf numFmtId="14" fontId="15" fillId="0" borderId="7" xfId="3" applyNumberFormat="1" applyFont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0" fontId="34" fillId="9" borderId="19" xfId="0" applyFont="1" applyFill="1" applyBorder="1" applyAlignment="1">
      <alignment horizontal="center" vertical="center"/>
    </xf>
    <xf numFmtId="166" fontId="33" fillId="6" borderId="2" xfId="0" applyNumberFormat="1" applyFont="1" applyFill="1" applyBorder="1" applyAlignment="1" applyProtection="1">
      <alignment horizontal="left" vertical="center"/>
      <protection hidden="1"/>
    </xf>
    <xf numFmtId="166" fontId="33" fillId="6" borderId="4" xfId="0" applyNumberFormat="1" applyFont="1" applyFill="1" applyBorder="1" applyAlignment="1" applyProtection="1">
      <alignment horizontal="left" vertical="center"/>
      <protection hidden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10" fillId="3" borderId="3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12" fillId="0" borderId="0" xfId="3" applyAlignment="1">
      <alignment horizontal="center" vertical="center"/>
    </xf>
    <xf numFmtId="0" fontId="12" fillId="0" borderId="0" xfId="3" applyAlignment="1">
      <alignment horizontal="center"/>
    </xf>
    <xf numFmtId="0" fontId="17" fillId="0" borderId="0" xfId="3" applyFont="1" applyAlignment="1">
      <alignment horizontal="center"/>
    </xf>
    <xf numFmtId="3" fontId="15" fillId="0" borderId="0" xfId="3" applyNumberFormat="1" applyFont="1" applyAlignment="1" applyProtection="1">
      <alignment horizontal="center" vertical="center" wrapText="1"/>
      <protection hidden="1"/>
    </xf>
    <xf numFmtId="0" fontId="46" fillId="0" borderId="0" xfId="3" applyFont="1" applyAlignment="1">
      <alignment horizontal="center" wrapText="1"/>
    </xf>
    <xf numFmtId="0" fontId="46" fillId="0" borderId="0" xfId="3" applyFont="1" applyAlignment="1">
      <alignment horizontal="center"/>
    </xf>
    <xf numFmtId="0" fontId="17" fillId="0" borderId="12" xfId="3" applyFont="1" applyBorder="1" applyAlignment="1">
      <alignment horizontal="center" vertical="top" wrapText="1"/>
    </xf>
    <xf numFmtId="0" fontId="17" fillId="0" borderId="9" xfId="3" applyFont="1" applyBorder="1" applyAlignment="1">
      <alignment horizontal="center" vertical="top" wrapText="1"/>
    </xf>
    <xf numFmtId="3" fontId="15" fillId="0" borderId="12" xfId="3" applyNumberFormat="1" applyFont="1" applyBorder="1" applyAlignment="1" applyProtection="1">
      <alignment horizontal="center" vertical="center" wrapText="1"/>
      <protection hidden="1"/>
    </xf>
    <xf numFmtId="3" fontId="15" fillId="0" borderId="9" xfId="3" applyNumberFormat="1" applyFont="1" applyBorder="1" applyAlignment="1" applyProtection="1">
      <alignment horizontal="center" vertical="center" wrapText="1"/>
      <protection hidden="1"/>
    </xf>
    <xf numFmtId="0" fontId="33" fillId="0" borderId="31" xfId="0" applyFont="1" applyBorder="1" applyAlignment="1" applyProtection="1">
      <alignment horizontal="center" vertical="top" wrapText="1"/>
      <protection locked="0"/>
    </xf>
    <xf numFmtId="0" fontId="33" fillId="0" borderId="32" xfId="0" applyFont="1" applyBorder="1" applyAlignment="1" applyProtection="1">
      <alignment horizontal="center" vertical="top" wrapText="1"/>
      <protection locked="0"/>
    </xf>
    <xf numFmtId="0" fontId="33" fillId="0" borderId="33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4" fontId="28" fillId="0" borderId="2" xfId="0" applyNumberFormat="1" applyFont="1" applyBorder="1" applyAlignment="1">
      <alignment horizontal="center" vertical="center" wrapText="1"/>
    </xf>
    <xf numFmtId="4" fontId="28" fillId="0" borderId="3" xfId="0" applyNumberFormat="1" applyFont="1" applyBorder="1" applyAlignment="1">
      <alignment horizontal="center" vertical="center" wrapText="1"/>
    </xf>
    <xf numFmtId="4" fontId="28" fillId="0" borderId="4" xfId="0" applyNumberFormat="1" applyFont="1" applyBorder="1" applyAlignment="1">
      <alignment horizontal="center" vertical="center" wrapText="1"/>
    </xf>
    <xf numFmtId="14" fontId="32" fillId="6" borderId="0" xfId="0" applyNumberFormat="1" applyFont="1" applyFill="1" applyAlignment="1" applyProtection="1">
      <alignment horizontal="center" vertical="center"/>
      <protection hidden="1"/>
    </xf>
    <xf numFmtId="14" fontId="32" fillId="0" borderId="0" xfId="0" applyNumberFormat="1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14" fontId="32" fillId="0" borderId="0" xfId="0" applyNumberFormat="1" applyFont="1" applyAlignment="1" applyProtection="1">
      <alignment horizontal="center" vertical="center" wrapText="1"/>
      <protection hidden="1"/>
    </xf>
    <xf numFmtId="0" fontId="26" fillId="0" borderId="12" xfId="0" applyFont="1" applyBorder="1" applyAlignment="1">
      <alignment horizontal="left" vertical="top" wrapText="1"/>
    </xf>
    <xf numFmtId="0" fontId="26" fillId="0" borderId="9" xfId="0" applyFont="1" applyBorder="1" applyAlignment="1">
      <alignment horizontal="left" vertical="top" wrapText="1"/>
    </xf>
    <xf numFmtId="166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26" fillId="8" borderId="12" xfId="0" applyFont="1" applyFill="1" applyBorder="1" applyAlignment="1">
      <alignment horizontal="left" vertical="top" wrapText="1"/>
    </xf>
    <xf numFmtId="0" fontId="26" fillId="8" borderId="9" xfId="0" applyFont="1" applyFill="1" applyBorder="1" applyAlignment="1">
      <alignment horizontal="left" vertical="top" wrapText="1"/>
    </xf>
    <xf numFmtId="3" fontId="14" fillId="6" borderId="0" xfId="0" applyNumberFormat="1" applyFont="1" applyFill="1" applyAlignment="1">
      <alignment horizontal="center" vertical="center" wrapText="1"/>
    </xf>
    <xf numFmtId="3" fontId="24" fillId="11" borderId="0" xfId="0" applyNumberFormat="1" applyFont="1" applyFill="1" applyAlignment="1">
      <alignment horizontal="center" vertical="center" wrapText="1"/>
    </xf>
    <xf numFmtId="3" fontId="24" fillId="8" borderId="0" xfId="0" applyNumberFormat="1" applyFont="1" applyFill="1" applyAlignment="1">
      <alignment horizontal="center" vertical="center" wrapText="1"/>
    </xf>
    <xf numFmtId="0" fontId="26" fillId="6" borderId="12" xfId="0" applyFont="1" applyFill="1" applyBorder="1" applyAlignment="1">
      <alignment horizontal="left" vertical="top" wrapText="1"/>
    </xf>
    <xf numFmtId="0" fontId="26" fillId="6" borderId="9" xfId="0" applyFont="1" applyFill="1" applyBorder="1" applyAlignment="1">
      <alignment horizontal="left" vertical="top" wrapText="1"/>
    </xf>
    <xf numFmtId="0" fontId="26" fillId="11" borderId="12" xfId="0" applyFont="1" applyFill="1" applyBorder="1" applyAlignment="1">
      <alignment horizontal="left" vertical="top" wrapText="1"/>
    </xf>
    <xf numFmtId="0" fontId="26" fillId="11" borderId="9" xfId="0" applyFont="1" applyFill="1" applyBorder="1" applyAlignment="1">
      <alignment horizontal="left" vertical="top" wrapText="1"/>
    </xf>
    <xf numFmtId="14" fontId="29" fillId="0" borderId="2" xfId="0" applyNumberFormat="1" applyFont="1" applyBorder="1" applyAlignment="1">
      <alignment horizontal="center" vertical="center" wrapText="1"/>
    </xf>
    <xf numFmtId="14" fontId="29" fillId="0" borderId="3" xfId="0" applyNumberFormat="1" applyFont="1" applyBorder="1" applyAlignment="1">
      <alignment horizontal="center" vertical="center" wrapText="1"/>
    </xf>
    <xf numFmtId="14" fontId="29" fillId="0" borderId="4" xfId="0" applyNumberFormat="1" applyFont="1" applyBorder="1" applyAlignment="1">
      <alignment horizontal="center" vertical="center" wrapText="1"/>
    </xf>
  </cellXfs>
  <cellStyles count="17">
    <cellStyle name="Schraffiert" xfId="4" xr:uid="{00000000-0005-0000-0000-000000000000}"/>
    <cellStyle name="Гиперссылка" xfId="5" builtinId="8"/>
    <cellStyle name="Обычный" xfId="0" builtinId="0"/>
    <cellStyle name="Обычный 2" xfId="3" xr:uid="{00000000-0005-0000-0000-000003000000}"/>
    <cellStyle name="Обычный 3" xfId="8" xr:uid="{00000000-0005-0000-0000-000004000000}"/>
    <cellStyle name="Обычный 3 2" xfId="11" xr:uid="{00000000-0005-0000-0000-000005000000}"/>
    <cellStyle name="Обычный 4" xfId="9" xr:uid="{00000000-0005-0000-0000-000006000000}"/>
    <cellStyle name="Обычный 4 2" xfId="12" xr:uid="{00000000-0005-0000-0000-000007000000}"/>
    <cellStyle name="Обычный 5" xfId="10" xr:uid="{00000000-0005-0000-0000-000008000000}"/>
    <cellStyle name="Обычный 5 2" xfId="13" xr:uid="{00000000-0005-0000-0000-000009000000}"/>
    <cellStyle name="Обычный 5 2 2" xfId="16" xr:uid="{00000000-0005-0000-0000-00000A000000}"/>
    <cellStyle name="Обычный 6" xfId="14" xr:uid="{00000000-0005-0000-0000-00000B000000}"/>
    <cellStyle name="Обычный 7" xfId="15" xr:uid="{00000000-0005-0000-0000-00000C000000}"/>
    <cellStyle name="Процентный" xfId="2" builtinId="5"/>
    <cellStyle name="Процентный 2" xfId="6" xr:uid="{00000000-0005-0000-0000-00000E000000}"/>
    <cellStyle name="Финансовый" xfId="1" builtinId="3"/>
    <cellStyle name="Финансовый 2" xfId="7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C5D9F1"/>
      <color rgb="FFE6B8B7"/>
      <color rgb="FFFE6E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251460</xdr:colOff>
          <xdr:row>31</xdr:row>
          <xdr:rowOff>22860</xdr:rowOff>
        </xdr:from>
        <xdr:to>
          <xdr:col>6</xdr:col>
          <xdr:colOff>1455420</xdr:colOff>
          <xdr:row>33</xdr:row>
          <xdr:rowOff>144780</xdr:rowOff>
        </xdr:to>
        <xdr:sp macro="" textlink="">
          <xdr:nvSpPr>
            <xdr:cNvPr id="14366" name="Button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0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K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Предварительный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31</xdr:row>
          <xdr:rowOff>0</xdr:rowOff>
        </xdr:from>
        <xdr:to>
          <xdr:col>0</xdr:col>
          <xdr:colOff>800100</xdr:colOff>
          <xdr:row>33</xdr:row>
          <xdr:rowOff>99060</xdr:rowOff>
        </xdr:to>
        <xdr:sp macro="" textlink="">
          <xdr:nvSpPr>
            <xdr:cNvPr id="14368" name="Button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0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K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Экспорт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749557</xdr:colOff>
      <xdr:row>2</xdr:row>
      <xdr:rowOff>4084</xdr:rowOff>
    </xdr:from>
    <xdr:ext cx="228921" cy="2037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3078852" y="385084"/>
              <a:ext cx="228921" cy="2037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>
                    <m:sSubSup>
                      <m:sSubSup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̈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  <m: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bSup>
                  </m:oMath>
                </m:oMathPara>
              </a14:m>
              <a:endParaRPr lang="ru-RU" sz="105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078852" y="385084"/>
              <a:ext cx="228921" cy="2037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𝑎 ̈_𝑥^𝑚</a:t>
              </a:r>
              <a:endParaRPr lang="ru-RU" sz="1050"/>
            </a:p>
          </xdr:txBody>
        </xdr:sp>
      </mc:Fallback>
    </mc:AlternateContent>
    <xdr:clientData/>
  </xdr:oneCellAnchor>
  <xdr:oneCellAnchor>
    <xdr:from>
      <xdr:col>3</xdr:col>
      <xdr:colOff>772392</xdr:colOff>
      <xdr:row>0</xdr:row>
      <xdr:rowOff>179243</xdr:rowOff>
    </xdr:from>
    <xdr:ext cx="196336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3101687" y="179243"/>
              <a:ext cx="196336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̈"/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</m:acc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101687" y="179243"/>
              <a:ext cx="196336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𝑎</a:t>
              </a:r>
              <a:r>
                <a:rPr lang="ru-RU" sz="1200" b="0" i="0">
                  <a:latin typeface="Cambria Math" panose="02040503050406030204" pitchFamily="18" charset="0"/>
                </a:rPr>
                <a:t> ̈_</a:t>
              </a:r>
              <a:r>
                <a:rPr lang="en-US" sz="1200" b="0" i="0">
                  <a:latin typeface="Cambria Math" panose="02040503050406030204" pitchFamily="18" charset="0"/>
                </a:rPr>
                <a:t>𝑥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42"/>
  <sheetViews>
    <sheetView tabSelected="1" zoomScale="85" zoomScaleNormal="85" workbookViewId="0">
      <selection activeCell="I15" sqref="I15"/>
    </sheetView>
  </sheetViews>
  <sheetFormatPr defaultColWidth="9.109375" defaultRowHeight="13.8"/>
  <cols>
    <col min="1" max="1" width="45.33203125" style="82" customWidth="1"/>
    <col min="2" max="2" width="30.33203125" style="82" customWidth="1"/>
    <col min="3" max="3" width="9" style="82" customWidth="1"/>
    <col min="4" max="4" width="18.44140625" style="82" customWidth="1"/>
    <col min="5" max="5" width="18.109375" style="82" customWidth="1"/>
    <col min="6" max="6" width="18.5546875" style="82" customWidth="1"/>
    <col min="7" max="7" width="38" style="82" customWidth="1"/>
    <col min="8" max="8" width="4.88671875" style="82" customWidth="1"/>
    <col min="9" max="11" width="15.44140625" style="82" customWidth="1"/>
    <col min="12" max="16384" width="9.109375" style="82"/>
  </cols>
  <sheetData>
    <row r="1" spans="1:11" ht="12.75" customHeight="1">
      <c r="A1" s="77" t="s">
        <v>426</v>
      </c>
      <c r="B1" s="78"/>
      <c r="C1" s="79"/>
      <c r="D1" s="168" t="s">
        <v>319</v>
      </c>
      <c r="E1" s="166">
        <f>IF(end=1,DATEDIF(d_begin,G12,"y"),DATEDIF(d_begin,d_last+1,"y"))</f>
        <v>52</v>
      </c>
      <c r="F1" s="166">
        <f>IF(end=1,DATEDIF(EDATE(d_begin,12*E1),G12,"m"),DATEDIF(EDATE(d_begin,12*E1),d_last+1,"m"))</f>
        <v>2</v>
      </c>
      <c r="G1" s="166">
        <f>IF(end=1,DATEDIF(EDATE(d_begin,12*E1+F1),G12,"d"),DATEDIF(EDATE(d_begin,12*E1+F1),d_last+1,"d"))</f>
        <v>25</v>
      </c>
      <c r="H1" s="81">
        <f>IF(AND(B23="Да",B28&gt;59,B22&gt;0),1,IF(OR(B19="",B19=0,B28&lt;60),0,1))</f>
        <v>1</v>
      </c>
    </row>
    <row r="2" spans="1:11" ht="16.5" customHeight="1">
      <c r="A2" s="250" t="s">
        <v>1</v>
      </c>
      <c r="B2" s="251"/>
      <c r="C2" s="252"/>
      <c r="D2" s="169" t="s">
        <v>320</v>
      </c>
      <c r="E2" s="102"/>
      <c r="F2" s="102"/>
      <c r="G2" s="102"/>
      <c r="H2" s="84"/>
    </row>
    <row r="3" spans="1:11" ht="12.75" customHeight="1">
      <c r="A3" s="85"/>
      <c r="B3" s="83"/>
      <c r="C3" s="86"/>
      <c r="D3" s="102"/>
      <c r="E3" s="102"/>
      <c r="F3" s="102"/>
      <c r="G3" s="102"/>
      <c r="H3" s="84"/>
    </row>
    <row r="4" spans="1:11" ht="12.75" customHeight="1">
      <c r="A4" s="98" t="s">
        <v>359</v>
      </c>
      <c r="B4" s="134">
        <v>46280</v>
      </c>
      <c r="C4" s="86"/>
      <c r="D4" s="102"/>
      <c r="E4" s="102"/>
      <c r="F4" s="170" t="s">
        <v>5</v>
      </c>
      <c r="G4" s="99">
        <f>IF(H1=1,Input_calc!R20,IF(pol=1,Input_calc!Q20,Input_calc!P20))</f>
        <v>46280</v>
      </c>
      <c r="H4" s="84"/>
    </row>
    <row r="5" spans="1:11" ht="12.75" customHeight="1">
      <c r="A5" s="85"/>
      <c r="B5" s="87"/>
      <c r="C5" s="86"/>
      <c r="D5" s="102"/>
      <c r="E5" s="102"/>
      <c r="F5" s="170"/>
      <c r="G5" s="101"/>
      <c r="H5" s="84"/>
    </row>
    <row r="6" spans="1:11" ht="12.75" customHeight="1">
      <c r="A6" s="98" t="s">
        <v>6</v>
      </c>
      <c r="B6" s="134">
        <v>24816</v>
      </c>
      <c r="C6" s="86"/>
      <c r="D6" s="102"/>
      <c r="E6" s="102"/>
      <c r="F6" s="170" t="s">
        <v>318</v>
      </c>
      <c r="G6" s="165">
        <f>ROUNDDOWN(YEARFRAC(VALUE(d_birth),B4),0)</f>
        <v>58</v>
      </c>
      <c r="H6" s="84"/>
      <c r="I6" s="212"/>
      <c r="K6" s="93"/>
    </row>
    <row r="7" spans="1:11" ht="12.75" customHeight="1">
      <c r="A7" s="98"/>
      <c r="B7" s="83"/>
      <c r="C7" s="86"/>
      <c r="D7" s="102"/>
      <c r="E7" s="102"/>
      <c r="F7" s="170"/>
      <c r="G7" s="101"/>
      <c r="H7" s="84"/>
      <c r="K7" s="93"/>
    </row>
    <row r="8" spans="1:11" ht="12.75" customHeight="1">
      <c r="A8" s="98" t="s">
        <v>7</v>
      </c>
      <c r="B8" s="135" t="s">
        <v>34</v>
      </c>
      <c r="C8" s="86"/>
      <c r="D8" s="102"/>
      <c r="E8" s="102"/>
      <c r="F8" s="170" t="s">
        <v>396</v>
      </c>
      <c r="G8" s="165">
        <f>ROUNDDOWN(YEARFRAC(VALUE(d_birth),G4),0)</f>
        <v>58</v>
      </c>
      <c r="H8" s="84"/>
      <c r="K8" s="93"/>
    </row>
    <row r="9" spans="1:11" ht="12.75" customHeight="1">
      <c r="A9" s="98"/>
      <c r="B9" s="87"/>
      <c r="C9" s="86"/>
      <c r="D9" s="102"/>
      <c r="E9" s="102"/>
      <c r="F9" s="170"/>
      <c r="G9" s="101"/>
      <c r="H9" s="84"/>
      <c r="K9" s="93"/>
    </row>
    <row r="10" spans="1:11" ht="12.75" customHeight="1">
      <c r="A10" s="180" t="s">
        <v>316</v>
      </c>
      <c r="B10" s="135" t="s">
        <v>410</v>
      </c>
      <c r="C10" s="86"/>
      <c r="D10" s="102"/>
      <c r="E10" s="102"/>
      <c r="F10" s="170" t="s">
        <v>49</v>
      </c>
      <c r="G10" s="99">
        <f ca="1">Input_calc!H26</f>
        <v>65334</v>
      </c>
      <c r="H10" s="84"/>
      <c r="K10" s="93"/>
    </row>
    <row r="11" spans="1:11" ht="12.75" customHeight="1">
      <c r="A11" s="180"/>
      <c r="B11" s="102"/>
      <c r="C11" s="86"/>
      <c r="D11" s="102"/>
      <c r="E11" s="102"/>
      <c r="F11" s="170"/>
      <c r="G11" s="102"/>
      <c r="H11" s="84"/>
      <c r="K11" s="93"/>
    </row>
    <row r="12" spans="1:11" ht="12.75" customHeight="1">
      <c r="A12" s="98" t="s">
        <v>48</v>
      </c>
      <c r="B12" s="133">
        <v>15</v>
      </c>
      <c r="C12" s="86"/>
      <c r="D12" s="171"/>
      <c r="E12" s="102"/>
      <c r="F12" s="170" t="s">
        <v>328</v>
      </c>
      <c r="G12" s="99" t="str">
        <f>IF(OR(end=2,end=3),"пожизненно",EDATE(VALUE(d_birth),IF(pol=1,63,IF(VALUE(d_birth)&lt;Input_calc!$P$3,58,IF(VALUE(d_birth)&gt;=Input_calc!$P$13,63,(58+Input_calc!$Q$3))))*12))</f>
        <v>пожизненно</v>
      </c>
      <c r="H12" s="84"/>
      <c r="K12" s="93"/>
    </row>
    <row r="13" spans="1:11" ht="12.75" customHeight="1">
      <c r="A13" s="98"/>
      <c r="B13" s="80"/>
      <c r="C13" s="83"/>
      <c r="D13" s="195"/>
      <c r="E13" s="102"/>
      <c r="F13" s="102"/>
      <c r="G13" s="102"/>
      <c r="H13" s="84"/>
    </row>
    <row r="14" spans="1:11" ht="12.75" customHeight="1">
      <c r="A14" s="180" t="s">
        <v>9</v>
      </c>
      <c r="B14" s="161" t="s">
        <v>41</v>
      </c>
      <c r="C14" s="83"/>
      <c r="D14" s="195"/>
      <c r="E14" s="139"/>
      <c r="F14" s="139" t="s">
        <v>321</v>
      </c>
      <c r="G14" s="139" t="s">
        <v>322</v>
      </c>
      <c r="H14" s="84"/>
    </row>
    <row r="15" spans="1:11" ht="12.75" customHeight="1">
      <c r="A15" s="181"/>
      <c r="B15" s="166"/>
      <c r="C15" s="86"/>
      <c r="D15" s="102"/>
      <c r="E15" s="172" t="s">
        <v>392</v>
      </c>
      <c r="F15" s="167">
        <f>VALUE(G4)</f>
        <v>46280</v>
      </c>
      <c r="G15" s="167">
        <f>EDATE(F15,g_period*12)</f>
        <v>51759</v>
      </c>
      <c r="H15" s="84"/>
      <c r="I15" s="212"/>
    </row>
    <row r="16" spans="1:11" ht="12.75" customHeight="1">
      <c r="A16" s="182" t="s">
        <v>32</v>
      </c>
      <c r="B16" s="183">
        <f>SUM(B17:B22)</f>
        <v>11300000</v>
      </c>
      <c r="C16" s="86"/>
      <c r="D16" s="102"/>
      <c r="E16" s="108"/>
      <c r="F16" s="102"/>
      <c r="G16" s="102"/>
      <c r="H16" s="84"/>
    </row>
    <row r="17" spans="1:10" ht="12.75" customHeight="1">
      <c r="A17" s="98" t="s">
        <v>33</v>
      </c>
      <c r="B17" s="132">
        <v>118239</v>
      </c>
      <c r="C17" s="86"/>
      <c r="D17" s="196"/>
      <c r="E17" s="197"/>
      <c r="F17" s="199"/>
      <c r="G17" s="199"/>
      <c r="H17" s="198"/>
    </row>
    <row r="18" spans="1:10" ht="12.75" customHeight="1">
      <c r="A18" s="98" t="s">
        <v>97</v>
      </c>
      <c r="B18" s="132"/>
      <c r="C18" s="100"/>
      <c r="D18" s="102"/>
      <c r="E18" s="102"/>
      <c r="F18" s="173" t="s">
        <v>381</v>
      </c>
      <c r="G18" s="105">
        <f ca="1">calc!E10</f>
        <v>0</v>
      </c>
      <c r="H18" s="84"/>
    </row>
    <row r="19" spans="1:10" ht="12.75" customHeight="1">
      <c r="A19" s="98" t="s">
        <v>98</v>
      </c>
      <c r="B19" s="132">
        <v>1360000</v>
      </c>
      <c r="C19" s="86"/>
      <c r="D19" s="102"/>
      <c r="E19" s="102"/>
      <c r="F19" s="173" t="s">
        <v>382</v>
      </c>
      <c r="G19" s="106"/>
      <c r="H19" s="84"/>
    </row>
    <row r="20" spans="1:10" ht="12.75" customHeight="1">
      <c r="A20" s="98" t="s">
        <v>442</v>
      </c>
      <c r="B20" s="132"/>
      <c r="C20" s="86"/>
      <c r="D20" s="102"/>
      <c r="E20" s="102"/>
      <c r="F20" s="173"/>
      <c r="G20" s="106"/>
      <c r="H20" s="84"/>
    </row>
    <row r="21" spans="1:10" ht="12.75" customHeight="1">
      <c r="A21" s="98"/>
      <c r="B21" s="98"/>
      <c r="C21" s="86"/>
      <c r="D21" s="102"/>
      <c r="E21" s="102"/>
      <c r="F21" s="173"/>
      <c r="G21" s="106"/>
      <c r="H21" s="84"/>
    </row>
    <row r="22" spans="1:10" ht="12.75" customHeight="1">
      <c r="A22" s="97" t="s">
        <v>323</v>
      </c>
      <c r="B22" s="132">
        <v>9821761</v>
      </c>
      <c r="C22" s="86"/>
      <c r="D22" s="102"/>
      <c r="E22" s="102"/>
      <c r="F22" s="170" t="s">
        <v>317</v>
      </c>
      <c r="G22" s="244">
        <f>index</f>
        <v>0.08</v>
      </c>
      <c r="H22" s="84"/>
    </row>
    <row r="23" spans="1:10" ht="12.75" customHeight="1">
      <c r="A23" s="201" t="s">
        <v>418</v>
      </c>
      <c r="B23" s="135" t="s">
        <v>416</v>
      </c>
      <c r="C23" s="86"/>
      <c r="D23" s="102"/>
      <c r="E23" s="102"/>
      <c r="F23" s="170" t="s">
        <v>445</v>
      </c>
      <c r="G23" s="244">
        <v>0.11</v>
      </c>
      <c r="H23" s="84"/>
    </row>
    <row r="24" spans="1:10" ht="12.75" customHeight="1">
      <c r="A24" s="98"/>
      <c r="B24" s="80"/>
      <c r="C24" s="86"/>
      <c r="D24" s="102"/>
      <c r="E24" s="102"/>
      <c r="F24" s="102"/>
      <c r="G24" s="102"/>
      <c r="H24" s="84"/>
    </row>
    <row r="25" spans="1:10" ht="12.75" hidden="1" customHeight="1">
      <c r="A25" s="98"/>
      <c r="B25" s="80">
        <v>0</v>
      </c>
      <c r="C25" s="86"/>
      <c r="D25" s="102"/>
      <c r="E25" s="102"/>
      <c r="G25" s="235">
        <v>0.08</v>
      </c>
      <c r="H25" s="84"/>
    </row>
    <row r="26" spans="1:10" ht="12.75" hidden="1" customHeight="1">
      <c r="A26" s="98"/>
      <c r="B26" s="80"/>
      <c r="C26" s="184"/>
      <c r="D26" s="102"/>
      <c r="E26" s="102"/>
      <c r="F26" s="170"/>
      <c r="G26" s="170"/>
      <c r="H26" s="84"/>
    </row>
    <row r="27" spans="1:10" ht="12.75" customHeight="1">
      <c r="A27" s="98"/>
      <c r="B27" s="80"/>
      <c r="C27" s="184"/>
      <c r="D27" s="174"/>
      <c r="E27" s="175"/>
      <c r="F27" s="171" t="s">
        <v>441</v>
      </c>
      <c r="G27" s="243" t="s">
        <v>438</v>
      </c>
      <c r="H27" s="84"/>
    </row>
    <row r="28" spans="1:10" ht="12.75" customHeight="1">
      <c r="A28" s="201" t="s">
        <v>415</v>
      </c>
      <c r="B28" s="132">
        <v>60</v>
      </c>
      <c r="C28" s="186"/>
      <c r="D28" s="174"/>
      <c r="E28" s="175"/>
      <c r="F28" s="102"/>
      <c r="G28" s="102"/>
      <c r="H28" s="84"/>
    </row>
    <row r="29" spans="1:10" ht="12.75" customHeight="1">
      <c r="A29" s="181"/>
      <c r="B29" s="102"/>
      <c r="C29" s="102"/>
      <c r="D29" s="242"/>
      <c r="E29" s="108"/>
      <c r="F29" s="171" t="s">
        <v>391</v>
      </c>
      <c r="G29" s="103" t="str">
        <f ca="1">IF(calc!P10&gt;=0,"Да","Нет")</f>
        <v>Да</v>
      </c>
      <c r="H29" s="84"/>
      <c r="I29" s="89"/>
      <c r="J29" s="89"/>
    </row>
    <row r="30" spans="1:10" ht="12.75" customHeight="1" thickBot="1">
      <c r="A30" s="187"/>
      <c r="B30" s="104"/>
      <c r="C30" s="188"/>
      <c r="D30" s="176"/>
      <c r="E30" s="107"/>
      <c r="F30" s="200" t="s">
        <v>390</v>
      </c>
      <c r="G30" s="107"/>
      <c r="H30" s="88"/>
      <c r="I30" s="89"/>
      <c r="J30" s="89"/>
    </row>
    <row r="31" spans="1:10" ht="12.75" customHeight="1" thickTop="1">
      <c r="A31" s="181"/>
      <c r="B31" s="102"/>
      <c r="C31" s="102"/>
      <c r="D31" s="177"/>
      <c r="E31" s="108"/>
      <c r="F31" s="102"/>
      <c r="G31" s="102"/>
      <c r="H31" s="84"/>
      <c r="I31" s="90"/>
      <c r="J31" s="90"/>
    </row>
    <row r="32" spans="1:10" ht="12.75" customHeight="1">
      <c r="A32" s="181"/>
      <c r="B32" s="102"/>
      <c r="C32" s="102"/>
      <c r="D32" s="177"/>
      <c r="E32" s="108"/>
      <c r="F32" s="102"/>
      <c r="G32" s="108"/>
      <c r="H32" s="91"/>
      <c r="I32" s="89"/>
      <c r="J32" s="89"/>
    </row>
    <row r="33" spans="1:10" ht="12.75" customHeight="1">
      <c r="A33" s="185" t="s">
        <v>42</v>
      </c>
      <c r="B33" s="162">
        <f ca="1">ROUND(IF(Input_calc!H11=1,calc!E7,0),0)</f>
        <v>55697</v>
      </c>
      <c r="C33" s="102"/>
      <c r="D33" s="171" t="s">
        <v>385</v>
      </c>
      <c r="E33" s="253" t="str">
        <f>Input_CV!A5 &amp;" "&amp;Input_CV!C5</f>
        <v xml:space="preserve"> </v>
      </c>
      <c r="F33" s="254"/>
      <c r="G33" s="108"/>
      <c r="H33" s="84"/>
    </row>
    <row r="34" spans="1:10" ht="12.75" customHeight="1">
      <c r="A34" s="181"/>
      <c r="B34" s="102"/>
      <c r="C34" s="102"/>
      <c r="D34" s="178"/>
      <c r="E34" s="102"/>
      <c r="F34" s="102"/>
      <c r="G34" s="102"/>
      <c r="H34" s="92"/>
      <c r="I34" s="93"/>
      <c r="J34" s="93"/>
    </row>
    <row r="35" spans="1:10" ht="12.75" customHeight="1">
      <c r="A35" s="185" t="s">
        <v>446</v>
      </c>
      <c r="B35" s="162">
        <f ca="1">IF(Ben=0,0,ROUND(B16*G23,0))</f>
        <v>1243000</v>
      </c>
      <c r="C35" s="102"/>
      <c r="D35" s="178"/>
      <c r="E35" s="102"/>
      <c r="F35" s="102"/>
      <c r="G35" s="102"/>
      <c r="H35" s="92"/>
      <c r="I35" s="93"/>
      <c r="J35" s="93"/>
    </row>
    <row r="36" spans="1:10" ht="12.75" customHeight="1" thickBot="1">
      <c r="A36" s="94"/>
      <c r="B36" s="95"/>
      <c r="C36" s="95"/>
      <c r="D36" s="179"/>
      <c r="E36" s="179"/>
      <c r="F36" s="179"/>
      <c r="G36" s="179"/>
      <c r="H36" s="96"/>
    </row>
    <row r="38" spans="1:10">
      <c r="A38" s="246" t="s">
        <v>443</v>
      </c>
      <c r="B38" s="247">
        <f ca="1">calc!E9</f>
        <v>7221868</v>
      </c>
    </row>
    <row r="40" spans="1:10">
      <c r="E40" s="245"/>
    </row>
    <row r="42" spans="1:10">
      <c r="E42" s="245"/>
    </row>
  </sheetData>
  <sheetProtection algorithmName="SHA-512" hashValue="ByZVTJAa/uQWIjhftpGzL1YkyJYezHGKSXq4q3/n0PnMp8ftUTYU+hlyYodWJo1ro4OJucMdR16BhFjbN6pPjw==" saltValue="2ubVJ+Ac/BPUfsR3gNNxDA==" spinCount="100000" sheet="1" objects="1" scenarios="1"/>
  <dataConsolidate link="1"/>
  <mergeCells count="2">
    <mergeCell ref="A2:C2"/>
    <mergeCell ref="E33:F33"/>
  </mergeCells>
  <conditionalFormatting sqref="G29">
    <cfRule type="expression" dxfId="2" priority="1">
      <formula>$G$29="Да"</formula>
    </cfRule>
    <cfRule type="expression" dxfId="1" priority="2">
      <formula>$G$29="Нет"</formula>
    </cfRule>
  </conditionalFormatting>
  <dataValidations count="6">
    <dataValidation type="list" allowBlank="1" showInputMessage="1" showErrorMessage="1" sqref="B8" xr:uid="{00000000-0002-0000-0000-000000000000}">
      <formula1>pol_list</formula1>
    </dataValidation>
    <dataValidation type="decimal" operator="lessThanOrEqual" allowBlank="1" showInputMessage="1" showErrorMessage="1" errorTitle="Ошибочное значение" error="Сумма возраста аннуитента и гарантированного периода должна быть не больше срока страхования для сроч. аннуитета и не больше 85 лет для пож. аннуитета!" sqref="B12" xr:uid="{00000000-0002-0000-0000-000001000000}">
      <formula1>max_g_period</formula1>
    </dataValidation>
    <dataValidation operator="greaterThanOrEqual" allowBlank="1" showInputMessage="1" showErrorMessage="1" sqref="G8" xr:uid="{00000000-0002-0000-0000-000002000000}"/>
    <dataValidation operator="greaterThanOrEqual" allowBlank="1" showInputMessage="1" showErrorMessage="1" error="Возраст не подходит" sqref="B4" xr:uid="{00000000-0002-0000-0000-000003000000}"/>
    <dataValidation type="custom" showInputMessage="1" showErrorMessage="1" error="Не заполнена ячейка &quot;За счет профессиональных взносов&quot; или статус &quot;Пришел с иной КСЖ как ОППВ&quot; - &quot;Нет&quot;" sqref="B28" xr:uid="{5CF8737F-CAEC-4EDB-AF76-F2BD4A4BCE31}">
      <formula1>OR(B28&lt;60,B19&gt;0,B23="Да")</formula1>
    </dataValidation>
    <dataValidation type="custom" operator="equal" showInputMessage="1" showErrorMessage="1" error="Ячейка не может быть пустой при наличии 60 и более месяцев, за которые уплачены ОППВ и статусе &quot;Пришел с иной КСЖ как ОППВ&quot; - &quot;Нет&quot;" sqref="B19" xr:uid="{88559074-FF7B-4FF7-819C-3BDE567AD9E5}">
      <formula1>OR(B28&lt;60,B19&gt;0,B23="Да")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66" r:id="rId4" name="Button 30">
              <controlPr defaultSize="0" print="0" autoFill="0" autoPict="0" macro="[0]!пред">
                <anchor moveWithCells="1">
                  <from>
                    <xdr:col>6</xdr:col>
                    <xdr:colOff>251460</xdr:colOff>
                    <xdr:row>31</xdr:row>
                    <xdr:rowOff>22860</xdr:rowOff>
                  </from>
                  <to>
                    <xdr:col>6</xdr:col>
                    <xdr:colOff>1455420</xdr:colOff>
                    <xdr:row>33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5" name="Button 32">
              <controlPr defaultSize="0" print="0" autoFill="0" autoPict="0" macro="[0]!UpLoad">
                <anchor moveWithCells="1">
                  <from>
                    <xdr:col>0</xdr:col>
                    <xdr:colOff>83820</xdr:colOff>
                    <xdr:row>31</xdr:row>
                    <xdr:rowOff>0</xdr:rowOff>
                  </from>
                  <to>
                    <xdr:col>0</xdr:col>
                    <xdr:colOff>800100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00000000-0002-0000-0000-000004000000}">
          <x14:formula1>
            <xm:f>Input_calc!$H$4:$H$6</xm:f>
          </x14:formula1>
          <xm:sqref>B10</xm:sqref>
        </x14:dataValidation>
        <x14:dataValidation type="list" allowBlank="1" showInputMessage="1" showErrorMessage="1" xr:uid="{00000000-0002-0000-0000-000005000000}">
          <x14:formula1>
            <xm:f>Input_calc!$C$4:$C$5</xm:f>
          </x14:formula1>
          <xm:sqref>B23</xm:sqref>
        </x14:dataValidation>
        <x14:dataValidation type="list" allowBlank="1" showInputMessage="1" showErrorMessage="1" xr:uid="{1D8D5FF2-2212-4A4C-B8BD-CA0ADC543199}">
          <x14:formula1>
            <xm:f>Input_calc!$G$4:$G$6</xm:f>
          </x14:formula1>
          <xm:sqref>G25</xm:sqref>
        </x14:dataValidation>
        <x14:dataValidation type="list" allowBlank="1" showInputMessage="1" showErrorMessage="1" xr:uid="{0BC45378-9E9A-4DCC-9F00-D1A19E7DCF89}">
          <x14:formula1>
            <xm:f>Input_calc!$B$4:$B$7</xm:f>
          </x14:formula1>
          <xm:sqref>G27</xm:sqref>
        </x14:dataValidation>
        <x14:dataValidation type="decimal" operator="lessThanOrEqual" allowBlank="1" showInputMessage="1" showErrorMessage="1" error="Возраст не подходит" xr:uid="{00000000-0002-0000-0000-000006000000}">
          <x14:formula1>
            <xm:f>Input_calc!H32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U241"/>
  <sheetViews>
    <sheetView zoomScale="90" zoomScaleNormal="90" workbookViewId="0">
      <selection activeCell="E15" sqref="E15"/>
    </sheetView>
  </sheetViews>
  <sheetFormatPr defaultRowHeight="14.4"/>
  <cols>
    <col min="2" max="2" width="12.5546875" customWidth="1"/>
    <col min="3" max="3" width="25.44140625" customWidth="1"/>
    <col min="5" max="6" width="21" customWidth="1"/>
    <col min="7" max="7" width="28" customWidth="1"/>
    <col min="8" max="8" width="19.109375" customWidth="1"/>
    <col min="9" max="9" width="13.109375" customWidth="1"/>
    <col min="10" max="10" width="16.88671875" customWidth="1"/>
    <col min="11" max="11" width="11" customWidth="1"/>
    <col min="12" max="12" width="13.44140625" customWidth="1"/>
    <col min="13" max="13" width="12.109375" customWidth="1"/>
    <col min="14" max="14" width="11.5546875" customWidth="1"/>
    <col min="15" max="15" width="11" customWidth="1"/>
    <col min="16" max="16" width="12" customWidth="1"/>
    <col min="17" max="17" width="11.109375" customWidth="1"/>
    <col min="18" max="18" width="11.44140625" customWidth="1"/>
    <col min="19" max="19" width="15" customWidth="1"/>
    <col min="20" max="20" width="11" bestFit="1" customWidth="1"/>
    <col min="24" max="24" width="11" bestFit="1" customWidth="1"/>
  </cols>
  <sheetData>
    <row r="1" spans="1:21">
      <c r="R1" t="s">
        <v>413</v>
      </c>
    </row>
    <row r="2" spans="1:21">
      <c r="B2" s="3" t="s">
        <v>417</v>
      </c>
      <c r="C2" s="3" t="s">
        <v>417</v>
      </c>
      <c r="E2" s="3" t="s">
        <v>7</v>
      </c>
      <c r="F2" s="3" t="s">
        <v>444</v>
      </c>
      <c r="G2" s="3" t="s">
        <v>424</v>
      </c>
      <c r="H2" s="3" t="s">
        <v>36</v>
      </c>
      <c r="I2" s="3" t="s">
        <v>425</v>
      </c>
      <c r="J2" s="3" t="s">
        <v>37</v>
      </c>
      <c r="N2" t="s">
        <v>50</v>
      </c>
      <c r="U2" t="s">
        <v>414</v>
      </c>
    </row>
    <row r="3" spans="1:21">
      <c r="B3" s="3">
        <f>MATCH(Input!G27,B4:B7,0)</f>
        <v>2</v>
      </c>
      <c r="C3" s="3">
        <f>IF(Input!B23="Да",1,0)</f>
        <v>1</v>
      </c>
      <c r="E3" s="3">
        <f>IF(Input!$B$8="мужчина",1,2)</f>
        <v>1</v>
      </c>
      <c r="H3" s="3">
        <f>IF(Input!B10="немедленный срочный",1,IF(Input!B10="немедленный пожизненный",2,3))</f>
        <v>2</v>
      </c>
      <c r="J3" s="3">
        <f>IF(Input!B14="ежегодно",1,IF(Input!B14="раз в полгода",2,IF(Input!B14="ежеквартально",3,4)))</f>
        <v>4</v>
      </c>
      <c r="K3" s="3">
        <f ca="1">OFFSET(freq,freq,1)</f>
        <v>12</v>
      </c>
      <c r="L3">
        <f ca="1">OFFSET(freq,freq,2)</f>
        <v>1</v>
      </c>
      <c r="P3" s="10">
        <v>21916</v>
      </c>
      <c r="Q3">
        <f>SUM(Q4:Q13)</f>
        <v>0</v>
      </c>
      <c r="R3">
        <f>IF(YEAR(Input!B4)&lt;2018,50,IF(YEAR(Input!B4)&gt;2027,55,INDEX($R$4:$R$13,YEAR(Input!B4)-2017)))</f>
        <v>53</v>
      </c>
      <c r="U3">
        <f>IF(YEAR(Input!$B$4)&lt;2021,R3,IF(YEAR(Input!$B$4)&gt;=2027,55,VLOOKUP(YEAR(Input!$B$4),Input_calc!$T$7:$U$13,2,0)))</f>
        <v>53</v>
      </c>
    </row>
    <row r="4" spans="1:21">
      <c r="B4" s="3" t="s">
        <v>437</v>
      </c>
      <c r="C4" s="241" t="s">
        <v>416</v>
      </c>
      <c r="E4" s="3" t="s">
        <v>34</v>
      </c>
      <c r="F4" s="236">
        <v>0.1</v>
      </c>
      <c r="G4" s="236">
        <v>0.05</v>
      </c>
      <c r="H4" s="3" t="s">
        <v>412</v>
      </c>
      <c r="I4" s="236">
        <v>0.06</v>
      </c>
      <c r="J4" s="3"/>
      <c r="K4" s="3">
        <v>1</v>
      </c>
      <c r="L4">
        <v>12</v>
      </c>
      <c r="M4">
        <v>2018</v>
      </c>
      <c r="N4" s="10">
        <v>43101</v>
      </c>
      <c r="O4">
        <v>58.5</v>
      </c>
      <c r="P4" s="10">
        <v>22098</v>
      </c>
      <c r="Q4">
        <f>IF(AND(VALUE(d_birth)&gt;=P3,VALUE(d_birth)&lt;P4),1,0)*(O4-58)</f>
        <v>0</v>
      </c>
      <c r="R4">
        <v>50.5</v>
      </c>
    </row>
    <row r="5" spans="1:21">
      <c r="B5" s="3" t="s">
        <v>438</v>
      </c>
      <c r="C5" s="241" t="s">
        <v>329</v>
      </c>
      <c r="E5" s="3" t="s">
        <v>35</v>
      </c>
      <c r="F5" s="236">
        <v>0.11</v>
      </c>
      <c r="G5" s="236">
        <v>7.0000000000000007E-2</v>
      </c>
      <c r="H5" s="3" t="s">
        <v>410</v>
      </c>
      <c r="I5" s="236">
        <v>7.0000000000000007E-2</v>
      </c>
      <c r="J5" s="3"/>
      <c r="K5" s="3">
        <v>2</v>
      </c>
      <c r="L5">
        <v>6</v>
      </c>
      <c r="M5">
        <v>2019</v>
      </c>
      <c r="N5" s="10">
        <v>43466</v>
      </c>
      <c r="O5">
        <v>59</v>
      </c>
      <c r="P5" s="10">
        <v>22282</v>
      </c>
      <c r="Q5">
        <f t="shared" ref="Q5:Q13" si="0">IF(AND(VALUE(d_birth)&gt;=P4,VALUE(d_birth)&lt;P5),1,0)*(O5-58)</f>
        <v>0</v>
      </c>
      <c r="R5">
        <f>R4+0.5</f>
        <v>51</v>
      </c>
    </row>
    <row r="6" spans="1:21">
      <c r="B6" s="3" t="s">
        <v>439</v>
      </c>
      <c r="G6" s="236">
        <v>0.08</v>
      </c>
      <c r="H6" s="3" t="s">
        <v>411</v>
      </c>
      <c r="I6" s="236">
        <v>0.08</v>
      </c>
      <c r="J6" s="3"/>
      <c r="K6" s="3">
        <v>4</v>
      </c>
      <c r="L6">
        <v>3</v>
      </c>
      <c r="M6">
        <v>2020</v>
      </c>
      <c r="N6" s="10">
        <v>43831</v>
      </c>
      <c r="O6">
        <v>59.5</v>
      </c>
      <c r="P6" s="10">
        <v>22463</v>
      </c>
      <c r="Q6">
        <f t="shared" si="0"/>
        <v>0</v>
      </c>
      <c r="R6">
        <f t="shared" ref="R6:R9" si="1">R5+0.5</f>
        <v>51.5</v>
      </c>
    </row>
    <row r="7" spans="1:21">
      <c r="B7" s="3" t="s">
        <v>440</v>
      </c>
      <c r="C7" s="241" t="s">
        <v>73</v>
      </c>
      <c r="E7" s="3" t="s">
        <v>71</v>
      </c>
      <c r="H7" s="3" t="s">
        <v>74</v>
      </c>
      <c r="I7" s="236">
        <v>0.09</v>
      </c>
      <c r="J7" s="3" t="s">
        <v>41</v>
      </c>
      <c r="K7" s="3">
        <v>12</v>
      </c>
      <c r="L7">
        <v>1</v>
      </c>
      <c r="M7">
        <v>2021</v>
      </c>
      <c r="N7" s="10">
        <v>44197</v>
      </c>
      <c r="O7">
        <v>60</v>
      </c>
      <c r="P7" s="10">
        <v>22647</v>
      </c>
      <c r="Q7">
        <f>IF(AND(VALUE(d_birth)&gt;=P6,VALUE(d_birth)&lt;P7),1,0)*(O7-58)</f>
        <v>0</v>
      </c>
      <c r="R7">
        <f t="shared" si="1"/>
        <v>52</v>
      </c>
      <c r="T7">
        <v>2021</v>
      </c>
      <c r="U7">
        <v>52</v>
      </c>
    </row>
    <row r="8" spans="1:21">
      <c r="B8" s="3"/>
      <c r="C8" s="241">
        <f>IF(end=1,DATEDIF(VALUE(d_begin),d_end,"y"),85-calc!C15)</f>
        <v>27</v>
      </c>
      <c r="E8" s="19">
        <f>IF(end=1,EDATE(d_begin,-12*18), IF(end=2, EDATE(Input!$B$4,-12*IF(Input!H1=1,40,IF(pol=1,55,U3))), EDATE(Input!$B$4,-12*IF(Input!H1=1,40,45))))</f>
        <v>31670</v>
      </c>
      <c r="F8" s="10"/>
      <c r="H8" s="39">
        <f ca="1">IF(end=1,0,12/K3*H20)</f>
        <v>35596</v>
      </c>
      <c r="M8">
        <v>2022</v>
      </c>
      <c r="N8" s="10">
        <v>44562</v>
      </c>
      <c r="O8">
        <v>60.5</v>
      </c>
      <c r="P8" s="10">
        <v>22828</v>
      </c>
      <c r="Q8">
        <f t="shared" si="0"/>
        <v>0</v>
      </c>
      <c r="R8">
        <f t="shared" si="1"/>
        <v>52.5</v>
      </c>
      <c r="T8">
        <v>2022</v>
      </c>
      <c r="U8">
        <v>52.5</v>
      </c>
    </row>
    <row r="9" spans="1:21">
      <c r="E9" s="3">
        <f>IF(end=1,18,IF(Input!H1=1,40,45))</f>
        <v>40</v>
      </c>
      <c r="J9" s="3" t="s">
        <v>289</v>
      </c>
      <c r="M9">
        <v>2023</v>
      </c>
      <c r="N9" s="10">
        <v>44927</v>
      </c>
      <c r="O9">
        <v>61</v>
      </c>
      <c r="P9" s="10">
        <v>23012</v>
      </c>
      <c r="Q9">
        <f t="shared" si="0"/>
        <v>0</v>
      </c>
      <c r="R9">
        <f t="shared" si="1"/>
        <v>53</v>
      </c>
      <c r="T9">
        <v>2023</v>
      </c>
      <c r="U9">
        <v>53</v>
      </c>
    </row>
    <row r="10" spans="1:21">
      <c r="H10" s="3" t="s">
        <v>72</v>
      </c>
      <c r="J10" s="20">
        <f>IF(end=1,IF(pol=1,62,DATEDIF(VALUE(d_birth),d_last,"y")),109)</f>
        <v>109</v>
      </c>
      <c r="M10">
        <v>2024</v>
      </c>
      <c r="N10" s="10">
        <v>45292</v>
      </c>
      <c r="O10">
        <v>61</v>
      </c>
      <c r="P10" s="10">
        <v>23193</v>
      </c>
      <c r="Q10">
        <f t="shared" si="0"/>
        <v>0</v>
      </c>
      <c r="R10">
        <v>53</v>
      </c>
      <c r="T10">
        <v>2024</v>
      </c>
      <c r="U10">
        <v>53</v>
      </c>
    </row>
    <row r="11" spans="1:21">
      <c r="A11" s="1" t="s">
        <v>51</v>
      </c>
      <c r="B11" s="1"/>
      <c r="C11" s="1"/>
      <c r="D11" s="1"/>
      <c r="E11" s="1"/>
      <c r="F11" s="1"/>
      <c r="H11" s="232">
        <f ca="1">IF(AND(calc!E10=0,VALUE(d_birth)&lt;=E8,calc!E7&gt;=min_ann,g_period&lt;=max_g_period,IF(end=1,Input!B22&gt;0,1),NOT(ISBLANK(Input!E33)),VALUE(Input!B4)&gt;=DATE(2017,7,1)),1,0)</f>
        <v>1</v>
      </c>
      <c r="M11">
        <v>2025</v>
      </c>
      <c r="N11" s="10">
        <v>45658</v>
      </c>
      <c r="O11">
        <v>61</v>
      </c>
      <c r="P11" s="10">
        <v>23377</v>
      </c>
      <c r="Q11">
        <f>IF(AND(VALUE(d_birth)&gt;=P10,VALUE(d_birth)&lt;P11),1,0)*(O11-58)</f>
        <v>0</v>
      </c>
      <c r="R11">
        <v>53</v>
      </c>
      <c r="T11">
        <v>2025</v>
      </c>
      <c r="U11">
        <v>53</v>
      </c>
    </row>
    <row r="12" spans="1:21">
      <c r="A12" s="1" t="s">
        <v>47</v>
      </c>
      <c r="B12" s="1"/>
      <c r="C12" s="1"/>
      <c r="D12" s="1"/>
      <c r="E12" s="1"/>
      <c r="F12" s="1"/>
      <c r="J12" t="s">
        <v>68</v>
      </c>
      <c r="M12">
        <v>2026</v>
      </c>
      <c r="N12" s="10">
        <v>46023</v>
      </c>
      <c r="O12">
        <v>61</v>
      </c>
      <c r="P12" s="10">
        <v>23559</v>
      </c>
      <c r="Q12">
        <f t="shared" si="0"/>
        <v>0</v>
      </c>
      <c r="R12">
        <v>53</v>
      </c>
      <c r="T12">
        <v>2026</v>
      </c>
      <c r="U12">
        <v>53</v>
      </c>
    </row>
    <row r="13" spans="1:21">
      <c r="A13" s="11">
        <v>0</v>
      </c>
      <c r="B13" s="12">
        <f ca="1">IF(AND(Input!$H$1=1,$B$3=1),Input_calc!N131,OFFSET(Input_calc!B131,0,(Input_calc!$B$3-1)*3))</f>
        <v>0</v>
      </c>
      <c r="C13" s="12">
        <f ca="1">IF(AND(Input!$H$1=1,$B$3=1),Input_calc!O131,OFFSET(Input_calc!C131,0,(Input_calc!$B$3-1)*3))</f>
        <v>0</v>
      </c>
      <c r="D13" s="1"/>
      <c r="E13" s="1" t="s">
        <v>52</v>
      </c>
      <c r="F13" s="1"/>
      <c r="H13" s="3" t="s">
        <v>68</v>
      </c>
      <c r="J13">
        <v>2025</v>
      </c>
      <c r="K13">
        <v>3932</v>
      </c>
      <c r="M13">
        <v>2027</v>
      </c>
      <c r="N13" s="10">
        <v>46388</v>
      </c>
      <c r="O13">
        <v>61</v>
      </c>
      <c r="P13" s="10">
        <v>23743</v>
      </c>
      <c r="Q13">
        <f t="shared" si="0"/>
        <v>0</v>
      </c>
      <c r="R13">
        <v>53</v>
      </c>
      <c r="T13">
        <v>2027</v>
      </c>
      <c r="U13">
        <v>53</v>
      </c>
    </row>
    <row r="14" spans="1:21">
      <c r="A14" s="11">
        <v>1</v>
      </c>
      <c r="B14" s="12">
        <f ca="1">IF(AND(Input!$H$1=1,$B$3=1),Input_calc!N132,OFFSET(Input_calc!B132,0,(Input_calc!$B$3-1)*3))</f>
        <v>0</v>
      </c>
      <c r="C14" s="12">
        <f ca="1">IF(AND(Input!$H$1=1,$B$3=1),Input_calc!O132,OFFSET(Input_calc!C132,0,(Input_calc!$B$3-1)*3))</f>
        <v>0</v>
      </c>
      <c r="D14" s="1"/>
      <c r="E14" s="131">
        <v>0.09</v>
      </c>
      <c r="F14" s="131"/>
      <c r="G14" s="210"/>
      <c r="H14" s="21">
        <f>VLOOKUP(YEAR(J17),$J$13:$K$14,2,0)</f>
        <v>4325</v>
      </c>
      <c r="J14">
        <v>2026</v>
      </c>
      <c r="K14">
        <v>4325</v>
      </c>
      <c r="M14">
        <v>2028</v>
      </c>
      <c r="N14" s="10">
        <v>46753</v>
      </c>
      <c r="O14">
        <v>61.5</v>
      </c>
      <c r="P14" s="10">
        <v>24289</v>
      </c>
      <c r="Q14">
        <f t="shared" ref="Q14" si="2">IF(AND(VALUE(d_birth)&gt;=P13,VALUE(d_birth)&lt;P14),1,0)*(O14-58)</f>
        <v>0</v>
      </c>
      <c r="R14">
        <v>54</v>
      </c>
      <c r="U14" s="222"/>
    </row>
    <row r="15" spans="1:21">
      <c r="A15" s="11">
        <v>2</v>
      </c>
      <c r="B15" s="12">
        <f ca="1">IF(AND(Input!$H$1=1,$B$3=1),Input_calc!N133,OFFSET(Input_calc!B133,0,(Input_calc!$B$3-1)*3))</f>
        <v>0</v>
      </c>
      <c r="C15" s="12">
        <f ca="1">IF(AND(Input!$H$1=1,$B$3=1),Input_calc!O133,OFFSET(Input_calc!C133,0,(Input_calc!$B$3-1)*3))</f>
        <v>0</v>
      </c>
      <c r="D15" s="1"/>
      <c r="E15" s="1"/>
      <c r="F15" s="1"/>
    </row>
    <row r="16" spans="1:21">
      <c r="A16" s="11">
        <v>3</v>
      </c>
      <c r="B16" s="12">
        <f ca="1">IF(AND(Input!$H$1=1,$B$3=1),Input_calc!N134,OFFSET(Input_calc!B134,0,(Input_calc!$B$3-1)*3))</f>
        <v>0</v>
      </c>
      <c r="C16" s="12">
        <f ca="1">IF(AND(Input!$H$1=1,$B$3=1),Input_calc!O134,OFFSET(Input_calc!C134,0,(Input_calc!$B$3-1)*3))</f>
        <v>0</v>
      </c>
      <c r="D16" s="1"/>
      <c r="E16" s="1" t="s">
        <v>53</v>
      </c>
      <c r="F16" s="1"/>
      <c r="H16" s="3" t="s">
        <v>69</v>
      </c>
    </row>
    <row r="17" spans="1:19">
      <c r="A17" s="11">
        <v>4</v>
      </c>
      <c r="B17" s="12">
        <f ca="1">IF(AND(Input!$H$1=1,$B$3=1),Input_calc!N135,OFFSET(Input_calc!B135,0,(Input_calc!$B$3-1)*3))</f>
        <v>0</v>
      </c>
      <c r="C17" s="12">
        <f ca="1">IF(AND(Input!$H$1=1,$B$3=1),Input_calc!O135,OFFSET(Input_calc!C135,0,(Input_calc!$B$3-1)*3))</f>
        <v>0</v>
      </c>
      <c r="D17" s="1"/>
      <c r="E17" s="131">
        <f>IF(OR(end=1,end=2),1.5%,1.5%)</f>
        <v>1.4999999999999999E-2</v>
      </c>
      <c r="F17" s="131"/>
      <c r="H17" s="21">
        <f>VLOOKUP(YEAR(J17),$I$23:$K$26,3,0)</f>
        <v>85000</v>
      </c>
      <c r="J17" s="10">
        <f>VALUE(Input!B4)</f>
        <v>46280</v>
      </c>
    </row>
    <row r="18" spans="1:19">
      <c r="A18" s="11">
        <v>5</v>
      </c>
      <c r="B18" s="12">
        <f ca="1">IF(AND(Input!$H$1=1,$B$3=1),Input_calc!N136,OFFSET(Input_calc!B136,0,(Input_calc!$B$3-1)*3))</f>
        <v>0</v>
      </c>
      <c r="C18" s="12">
        <f ca="1">IF(AND(Input!$H$1=1,$B$3=1),Input_calc!O136,OFFSET(Input_calc!C136,0,(Input_calc!$B$3-1)*3))</f>
        <v>0</v>
      </c>
      <c r="D18" s="1"/>
      <c r="E18" s="1"/>
      <c r="F18" s="1"/>
    </row>
    <row r="19" spans="1:19">
      <c r="A19" s="11">
        <v>6</v>
      </c>
      <c r="B19" s="12">
        <f ca="1">IF(AND(Input!$H$1=1,$B$3=1),Input_calc!N137,OFFSET(Input_calc!B137,0,(Input_calc!$B$3-1)*3))</f>
        <v>0</v>
      </c>
      <c r="C19" s="12">
        <f ca="1">IF(AND(Input!$H$1=1,$B$3=1),Input_calc!O137,OFFSET(Input_calc!C137,0,(Input_calc!$B$3-1)*3))</f>
        <v>0</v>
      </c>
      <c r="D19" s="1"/>
      <c r="E19" s="1" t="s">
        <v>54</v>
      </c>
      <c r="F19" s="1"/>
      <c r="H19" s="3" t="s">
        <v>70</v>
      </c>
      <c r="I19" t="s">
        <v>419</v>
      </c>
      <c r="M19" s="255" t="s">
        <v>402</v>
      </c>
      <c r="N19" s="256"/>
      <c r="O19" s="256"/>
      <c r="P19" s="257"/>
      <c r="Q19" s="214" t="s">
        <v>400</v>
      </c>
      <c r="R19" s="214" t="s">
        <v>399</v>
      </c>
    </row>
    <row r="20" spans="1:19">
      <c r="A20" s="11">
        <v>7</v>
      </c>
      <c r="B20" s="12">
        <f ca="1">IF(AND(Input!$H$1=1,$B$3=1),Input_calc!N138,OFFSET(Input_calc!B138,0,(Input_calc!$B$3-1)*3))</f>
        <v>0</v>
      </c>
      <c r="C20" s="12">
        <f ca="1">IF(AND(Input!$H$1=1,$B$3=1),Input_calc!O138,OFFSET(Input_calc!C138,0,(Input_calc!$B$3-1)*3))</f>
        <v>0</v>
      </c>
      <c r="D20" s="1"/>
      <c r="E20" s="131">
        <v>0.03</v>
      </c>
      <c r="F20" s="131"/>
      <c r="H20" s="215">
        <f>ROUNDUP(70%*I20,0)</f>
        <v>35596</v>
      </c>
      <c r="I20" s="138">
        <f>VLOOKUP(YEAR(J17),$I$23:$J$26,2,0)</f>
        <v>50851</v>
      </c>
      <c r="M20" s="3"/>
      <c r="N20" s="3"/>
      <c r="O20" s="228" t="s">
        <v>401</v>
      </c>
      <c r="P20" s="19">
        <f>IFERROR(IF(P21&lt;Input!$B$4,Input!$B$4,P21),Input!B4)</f>
        <v>46280</v>
      </c>
      <c r="Q20" s="19">
        <f>IF(Q21&lt;Input!$B$4,Input!$B$4,Q21)</f>
        <v>46280</v>
      </c>
      <c r="R20" s="19">
        <f>IF(R21&lt;Input!$B$4,Input!$B$4,Input_calc!R21)</f>
        <v>46280</v>
      </c>
    </row>
    <row r="21" spans="1:19">
      <c r="A21" s="11">
        <v>8</v>
      </c>
      <c r="B21" s="12">
        <f ca="1">IF(AND(Input!$H$1=1,$B$3=1),Input_calc!N139,OFFSET(Input_calc!B139,0,(Input_calc!$B$3-1)*3))</f>
        <v>0</v>
      </c>
      <c r="C21" s="12">
        <f ca="1">IF(AND(Input!$H$1=1,$B$3=1),Input_calc!O139,OFFSET(Input_calc!C139,0,(Input_calc!$B$3-1)*3))</f>
        <v>0</v>
      </c>
      <c r="D21" s="1"/>
      <c r="E21" s="1"/>
      <c r="F21" s="1"/>
      <c r="J21" t="s">
        <v>419</v>
      </c>
      <c r="K21" t="s">
        <v>69</v>
      </c>
      <c r="M21" s="223"/>
      <c r="N21" s="217"/>
      <c r="O21" s="225" t="s">
        <v>405</v>
      </c>
      <c r="P21" s="224" t="e">
        <f>IF(P22&lt;P23,EDATE(P22,1),P22)</f>
        <v>#N/A</v>
      </c>
      <c r="Q21" s="224">
        <f>IF(Q22&lt;Q23,EDATE(Q22,1),IF(MONTH(Q22)&lt;&gt;MONTH(Q23),EOMONTH(Q23,0),Q22))</f>
        <v>44910</v>
      </c>
      <c r="R21" s="224">
        <f>IF(R22&lt;R23,EDATE(R22,1),IF(MONTH(R22)&lt;&gt;MONTH(R23),EOMONTH(R23,0),R22))</f>
        <v>43084</v>
      </c>
    </row>
    <row r="22" spans="1:19">
      <c r="A22" s="11">
        <v>9</v>
      </c>
      <c r="B22" s="12">
        <f ca="1">IF(AND(Input!$H$1=1,$B$3=1),Input_calc!N140,OFFSET(Input_calc!B140,0,(Input_calc!$B$3-1)*3))</f>
        <v>0</v>
      </c>
      <c r="C22" s="12">
        <f ca="1">IF(AND(Input!$H$1=1,$B$3=1),Input_calc!O140,OFFSET(Input_calc!C140,0,(Input_calc!$B$3-1)*3))</f>
        <v>0</v>
      </c>
      <c r="D22" s="1"/>
      <c r="E22" s="192" t="s">
        <v>393</v>
      </c>
      <c r="F22" s="192"/>
      <c r="H22" s="3" t="s">
        <v>300</v>
      </c>
      <c r="I22">
        <v>2022</v>
      </c>
      <c r="J22" s="138">
        <v>36018</v>
      </c>
      <c r="M22" s="218"/>
      <c r="O22" s="2"/>
      <c r="P22" s="219" t="e">
        <f>DATE(YEAR(P23),MONTH(P23),IF(AND(DAY(Input!B4)&gt;28,MONTH(P23)=2),IF(MOD(YEAR(P23),4)=0,29,28),DAY(Input!B4)))</f>
        <v>#N/A</v>
      </c>
      <c r="Q22" s="19">
        <f>DATE(YEAR(Q23),MONTH(Q23),DAY(Input!B4))</f>
        <v>44910</v>
      </c>
      <c r="R22" s="19">
        <f>DATE(YEAR(R23),MONTH(R23),DAY(Input!B4))</f>
        <v>43084</v>
      </c>
    </row>
    <row r="23" spans="1:19">
      <c r="A23" s="11">
        <v>10</v>
      </c>
      <c r="B23" s="12">
        <f ca="1">IF(AND(Input!$H$1=1,$B$3=1),Input_calc!N141,OFFSET(Input_calc!B141,0,(Input_calc!$B$3-1)*3))</f>
        <v>0</v>
      </c>
      <c r="C23" s="12">
        <f ca="1">IF(AND(Input!$H$1=1,$B$3=1),Input_calc!O141,OFFSET(Input_calc!C141,0,(Input_calc!$B$3-1)*3))</f>
        <v>0</v>
      </c>
      <c r="D23" s="1"/>
      <c r="E23" s="193">
        <v>1.4999999999999999E-2</v>
      </c>
      <c r="F23" s="193"/>
      <c r="H23" s="40">
        <f>IF(end=1,IF(EDATE(d_begin,12*(YEAR(d_end)-YEAR(d_begin)))&gt;=d_end,EDATE(d_begin,12*(YEAR(d_end)-YEAR(d_begin)-1)),EDATE(d_begin,12*(YEAR(d_end)-YEAR(d_begin)))),EDATE(VALUE(d_birth),111*12)-1)</f>
        <v>65358</v>
      </c>
      <c r="I23">
        <v>2023</v>
      </c>
      <c r="J23" s="138">
        <v>40567</v>
      </c>
      <c r="K23">
        <v>60000</v>
      </c>
      <c r="M23" s="220"/>
      <c r="N23" s="222"/>
      <c r="O23" s="226" t="s">
        <v>404</v>
      </c>
      <c r="P23" s="227" t="e">
        <f>VLOOKUP(1,$M$24:$P$39,4,0)</f>
        <v>#N/A</v>
      </c>
      <c r="Q23" s="19">
        <f>EDATE(d_birth,55*12)</f>
        <v>44905</v>
      </c>
      <c r="R23" s="19">
        <f>EDATE(d_birth,50*12)</f>
        <v>43079</v>
      </c>
      <c r="S23" s="227"/>
    </row>
    <row r="24" spans="1:19">
      <c r="A24" s="11">
        <v>11</v>
      </c>
      <c r="B24" s="12">
        <f ca="1">IF(AND(Input!$H$1=1,$B$3=1),Input_calc!N142,OFFSET(Input_calc!B142,0,(Input_calc!$B$3-1)*3))</f>
        <v>0</v>
      </c>
      <c r="C24" s="12">
        <f ca="1">IF(AND(Input!$H$1=1,$B$3=1),Input_calc!O142,OFFSET(Input_calc!C142,0,(Input_calc!$B$3-1)*3))</f>
        <v>0</v>
      </c>
      <c r="D24" s="1"/>
      <c r="E24" s="1"/>
      <c r="F24" s="1"/>
      <c r="I24">
        <v>2024</v>
      </c>
      <c r="J24" s="138">
        <v>43407</v>
      </c>
      <c r="K24">
        <v>70000</v>
      </c>
      <c r="L24">
        <f>YEAR(N24)</f>
        <v>2021</v>
      </c>
      <c r="M24" s="218">
        <f>IF(AND(YEAR(Input!$B$4)=YEAR(P24),YEAR(N24)=YEAR(P24)),1,0)</f>
        <v>0</v>
      </c>
      <c r="N24" s="10">
        <v>44197</v>
      </c>
      <c r="O24">
        <v>52</v>
      </c>
      <c r="P24" s="219">
        <f t="shared" ref="P24:P38" si="3">EDATE(d_birth,12*O24)</f>
        <v>43809</v>
      </c>
    </row>
    <row r="25" spans="1:19">
      <c r="A25" s="11">
        <v>12</v>
      </c>
      <c r="B25" s="12">
        <f ca="1">IF(AND(Input!$H$1=1,$B$3=1),Input_calc!N143,OFFSET(Input_calc!B143,0,(Input_calc!$B$3-1)*3))</f>
        <v>0</v>
      </c>
      <c r="C25" s="12">
        <f ca="1">IF(AND(Input!$H$1=1,$B$3=1),Input_calc!O143,OFFSET(Input_calc!C143,0,(Input_calc!$B$3-1)*3))</f>
        <v>0</v>
      </c>
      <c r="D25" s="1"/>
      <c r="E25" s="1"/>
      <c r="F25" s="1"/>
      <c r="H25" s="3" t="s">
        <v>49</v>
      </c>
      <c r="I25">
        <v>2025</v>
      </c>
      <c r="J25" s="138">
        <v>46228</v>
      </c>
      <c r="K25">
        <v>85000</v>
      </c>
      <c r="L25">
        <f t="shared" ref="L25:L34" si="4">YEAR(N25)</f>
        <v>2022</v>
      </c>
      <c r="M25" s="218">
        <f>IF(AND(YEAR(Input!$B$4)=YEAR(P25),YEAR(N25)=YEAR(P25)),1,0)</f>
        <v>0</v>
      </c>
      <c r="N25" s="10">
        <f>EDATE(N24,12)</f>
        <v>44562</v>
      </c>
      <c r="O25">
        <v>52.5</v>
      </c>
      <c r="P25" s="219">
        <f t="shared" si="3"/>
        <v>43992</v>
      </c>
      <c r="Q25" s="10"/>
    </row>
    <row r="26" spans="1:19">
      <c r="A26" s="11">
        <v>13</v>
      </c>
      <c r="B26" s="12">
        <f ca="1">IF(AND(Input!$H$1=1,$B$3=1),Input_calc!N144,OFFSET(Input_calc!B144,0,(Input_calc!$B$3-1)*3))</f>
        <v>0</v>
      </c>
      <c r="C26" s="12">
        <f ca="1">IF(AND(Input!$H$1=1,$B$3=1),Input_calc!O144,OFFSET(Input_calc!C144,0,(Input_calc!$B$3-1)*3))</f>
        <v>0</v>
      </c>
      <c r="D26" s="1"/>
      <c r="E26" s="1"/>
      <c r="F26" s="1"/>
      <c r="H26" s="40">
        <f ca="1">IF(end=1,EDATE(d_last,ROUNDDOWN(DATEDIF(d_last,d_end-1,"m")/freq_2,0)*freq_2),EDATE(calc!B13,ROUNDDOWN(DATEDIF(calc!B13,d_last-IF(AND(MONTH(Input!B4)=MONTH(d_birth),DAY(d_birth)=DAY(Input!B4)+1),0,1),"m")/freq_2,0)*freq_2))</f>
        <v>65334</v>
      </c>
      <c r="I26">
        <v>2026</v>
      </c>
      <c r="J26" s="138">
        <v>50851</v>
      </c>
      <c r="K26">
        <v>85000</v>
      </c>
      <c r="L26">
        <f t="shared" si="4"/>
        <v>2023</v>
      </c>
      <c r="M26" s="218">
        <f>IF(AND(YEAR(Input!$B$4)=YEAR(P26),YEAR(N26)=YEAR(P26)),1,0)</f>
        <v>0</v>
      </c>
      <c r="N26" s="10">
        <f t="shared" ref="N26:N39" si="5">EDATE(N25,12)</f>
        <v>44927</v>
      </c>
      <c r="O26">
        <v>53</v>
      </c>
      <c r="P26" s="219">
        <f t="shared" si="3"/>
        <v>44175</v>
      </c>
      <c r="Q26" s="10"/>
    </row>
    <row r="27" spans="1:19">
      <c r="A27" s="11">
        <v>14</v>
      </c>
      <c r="B27" s="12">
        <f ca="1">IF(AND(Input!$H$1=1,$B$3=1),Input_calc!N145,OFFSET(Input_calc!B145,0,(Input_calc!$B$3-1)*3))</f>
        <v>0</v>
      </c>
      <c r="C27" s="12">
        <f ca="1">IF(AND(Input!$H$1=1,$B$3=1),Input_calc!O145,OFFSET(Input_calc!C145,0,(Input_calc!$B$3-1)*3))</f>
        <v>0</v>
      </c>
      <c r="D27" s="1"/>
      <c r="E27" s="1"/>
      <c r="F27" s="1"/>
      <c r="L27">
        <f t="shared" si="4"/>
        <v>2024</v>
      </c>
      <c r="M27" s="218">
        <f t="shared" ref="M27:M38" si="6">IF(YEAR(N27)=YEAR(P27),1,0)</f>
        <v>0</v>
      </c>
      <c r="N27" s="10">
        <f t="shared" si="5"/>
        <v>45292</v>
      </c>
      <c r="O27">
        <v>53</v>
      </c>
      <c r="P27" s="219">
        <f t="shared" si="3"/>
        <v>44175</v>
      </c>
      <c r="Q27" s="10"/>
    </row>
    <row r="28" spans="1:19">
      <c r="A28" s="11">
        <v>15</v>
      </c>
      <c r="B28" s="12">
        <f ca="1">IF(AND(Input!$H$1=1,$B$3=1),Input_calc!N146,OFFSET(Input_calc!B146,0,(Input_calc!$B$3-1)*3))</f>
        <v>0</v>
      </c>
      <c r="C28" s="12">
        <f ca="1">IF(AND(Input!$H$1=1,$B$3=1),Input_calc!O146,OFFSET(Input_calc!C146,0,(Input_calc!$B$3-1)*3))</f>
        <v>0</v>
      </c>
      <c r="D28" s="1"/>
      <c r="E28" s="1"/>
      <c r="F28" s="1"/>
      <c r="L28">
        <f t="shared" si="4"/>
        <v>2025</v>
      </c>
      <c r="M28" s="218">
        <f t="shared" si="6"/>
        <v>0</v>
      </c>
      <c r="N28" s="10">
        <f t="shared" si="5"/>
        <v>45658</v>
      </c>
      <c r="O28">
        <v>53</v>
      </c>
      <c r="P28" s="219">
        <f t="shared" si="3"/>
        <v>44175</v>
      </c>
      <c r="Q28" s="10"/>
    </row>
    <row r="29" spans="1:19">
      <c r="A29" s="11">
        <v>16</v>
      </c>
      <c r="B29" s="12">
        <f ca="1">IF(AND(Input!$H$1=1,$B$3=1),Input_calc!N147,OFFSET(Input_calc!B147,0,(Input_calc!$B$3-1)*3))</f>
        <v>0.30256250590385525</v>
      </c>
      <c r="C29" s="12">
        <f ca="1">IF(AND(Input!$H$1=1,$B$3=1),Input_calc!O147,OFFSET(Input_calc!C147,0,(Input_calc!$B$3-1)*3))</f>
        <v>0.23238048133852801</v>
      </c>
      <c r="D29" s="1"/>
      <c r="E29" s="1"/>
      <c r="F29" s="1"/>
      <c r="H29" s="3" t="s">
        <v>397</v>
      </c>
      <c r="I29" t="s">
        <v>398</v>
      </c>
      <c r="L29">
        <f t="shared" si="4"/>
        <v>2026</v>
      </c>
      <c r="M29" s="218">
        <f t="shared" si="6"/>
        <v>0</v>
      </c>
      <c r="N29" s="10">
        <f t="shared" si="5"/>
        <v>46023</v>
      </c>
      <c r="O29">
        <v>53</v>
      </c>
      <c r="P29" s="219">
        <f t="shared" si="3"/>
        <v>44175</v>
      </c>
      <c r="Q29" s="10"/>
    </row>
    <row r="30" spans="1:19">
      <c r="A30" s="11">
        <v>17</v>
      </c>
      <c r="B30" s="12">
        <f ca="1">IF(AND(Input!$H$1=1,$B$3=1),Input_calc!N148,OFFSET(Input_calc!B148,0,(Input_calc!$B$3-1)*3))</f>
        <v>0.45406592260445888</v>
      </c>
      <c r="C30" s="12">
        <f ca="1">IF(AND(Input!$H$1=1,$B$3=1),Input_calc!O148,OFFSET(Input_calc!C148,0,(Input_calc!$B$3-1)*3))</f>
        <v>0.34874135292816688</v>
      </c>
      <c r="D30" s="1"/>
      <c r="E30" s="1"/>
      <c r="F30" s="1"/>
      <c r="H30" s="19">
        <f>IF(Input!H1=1,EDATE(d_birth,12*40),EDATE(d_birth,45*12))</f>
        <v>39426</v>
      </c>
      <c r="I30" s="18">
        <v>45</v>
      </c>
      <c r="L30">
        <f t="shared" si="4"/>
        <v>2027</v>
      </c>
      <c r="M30" s="218">
        <f t="shared" si="6"/>
        <v>0</v>
      </c>
      <c r="N30" s="10">
        <f>EDATE(N29,12)</f>
        <v>46388</v>
      </c>
      <c r="O30">
        <v>53</v>
      </c>
      <c r="P30" s="219">
        <f t="shared" si="3"/>
        <v>44175</v>
      </c>
      <c r="Q30" s="10"/>
    </row>
    <row r="31" spans="1:19">
      <c r="A31" s="11">
        <v>18</v>
      </c>
      <c r="B31" s="12">
        <f ca="1">IF(AND(Input!$H$1=1,$B$3=1),Input_calc!N149,OFFSET(Input_calc!B149,0,(Input_calc!$B$3-1)*3))</f>
        <v>0.68143229265874272</v>
      </c>
      <c r="C31" s="12">
        <f ca="1">IF(AND(Input!$H$1=1,$B$3=1),Input_calc!O149,OFFSET(Input_calc!C149,0,(Input_calc!$B$3-1)*3))</f>
        <v>0.52336810106264264</v>
      </c>
      <c r="D31" s="1"/>
      <c r="E31" s="1"/>
      <c r="F31" s="1"/>
      <c r="H31" s="19">
        <f>EDATE(d_birth,E9*12)</f>
        <v>39426</v>
      </c>
      <c r="I31" s="18"/>
      <c r="L31">
        <f t="shared" si="4"/>
        <v>2028</v>
      </c>
      <c r="M31" s="218">
        <f t="shared" si="6"/>
        <v>0</v>
      </c>
      <c r="N31" s="10">
        <f t="shared" si="5"/>
        <v>46753</v>
      </c>
      <c r="O31">
        <v>53.5</v>
      </c>
      <c r="P31" s="219">
        <f t="shared" si="3"/>
        <v>44357</v>
      </c>
      <c r="Q31" s="10"/>
    </row>
    <row r="32" spans="1:19">
      <c r="A32" s="11">
        <v>19</v>
      </c>
      <c r="B32" s="12">
        <f ca="1">IF(AND(Input!$H$1=1,$B$3=1),Input_calc!N150,OFFSET(Input_calc!B150,0,(Input_calc!$B$3-1)*3))</f>
        <v>1.0226487969295377</v>
      </c>
      <c r="C32" s="12">
        <f ca="1">IF(AND(Input!$H$1=1,$B$3=1),Input_calc!O150,OFFSET(Input_calc!C150,0,(Input_calc!$B$3-1)*3))</f>
        <v>0.78543644712629446</v>
      </c>
      <c r="D32" s="1"/>
      <c r="E32" s="1"/>
      <c r="F32" s="1"/>
      <c r="H32" s="19">
        <f>IF(Input!H1=1,EDATE(Input!B4,-12*40),EDATE(Input!B4,-45*12))</f>
        <v>31670</v>
      </c>
      <c r="I32" s="18"/>
      <c r="L32">
        <f t="shared" si="4"/>
        <v>2029</v>
      </c>
      <c r="M32" s="218">
        <f t="shared" si="6"/>
        <v>0</v>
      </c>
      <c r="N32" s="10">
        <f t="shared" si="5"/>
        <v>47119</v>
      </c>
      <c r="O32">
        <v>54</v>
      </c>
      <c r="P32" s="219">
        <f t="shared" si="3"/>
        <v>44540</v>
      </c>
      <c r="Q32" s="10"/>
    </row>
    <row r="33" spans="1:18">
      <c r="A33" s="11">
        <v>20</v>
      </c>
      <c r="B33" s="12">
        <f ca="1">IF(AND(Input!$H$1=1,$B$3=1),Input_calc!N151,OFFSET(Input_calc!B151,0,(Input_calc!$B$3-1)*3))</f>
        <v>1.5347240997062146</v>
      </c>
      <c r="C33" s="12">
        <f ca="1">IF(AND(Input!$H$1=1,$B$3=1),Input_calc!O151,OFFSET(Input_calc!C151,0,(Input_calc!$B$3-1)*3))</f>
        <v>1.1787313961661134</v>
      </c>
      <c r="D33" s="1"/>
      <c r="E33" s="1"/>
      <c r="F33" s="1"/>
      <c r="L33">
        <f t="shared" si="4"/>
        <v>2030</v>
      </c>
      <c r="M33" s="218">
        <f t="shared" si="6"/>
        <v>0</v>
      </c>
      <c r="N33" s="10">
        <f t="shared" si="5"/>
        <v>47484</v>
      </c>
      <c r="O33">
        <v>54.5</v>
      </c>
      <c r="P33" s="219">
        <f t="shared" si="3"/>
        <v>44722</v>
      </c>
      <c r="Q33" s="10"/>
    </row>
    <row r="34" spans="1:18">
      <c r="A34" s="11">
        <v>21</v>
      </c>
      <c r="B34" s="12">
        <f ca="1">IF(AND(Input!$H$1=1,$B$3=1),Input_calc!N152,OFFSET(Input_calc!B152,0,(Input_calc!$B$3-1)*3))</f>
        <v>2.3032130573966154</v>
      </c>
      <c r="C34" s="12">
        <f ca="1">IF(AND(Input!$H$1=1,$B$3=1),Input_calc!O152,OFFSET(Input_calc!C152,0,(Input_calc!$B$3-1)*3))</f>
        <v>1.7689626059386376</v>
      </c>
      <c r="D34" s="1"/>
      <c r="E34" s="1"/>
      <c r="F34" s="1"/>
      <c r="L34">
        <f t="shared" si="4"/>
        <v>2031</v>
      </c>
      <c r="M34" s="218">
        <f t="shared" si="6"/>
        <v>0</v>
      </c>
      <c r="N34" s="221">
        <f t="shared" si="5"/>
        <v>47849</v>
      </c>
      <c r="O34">
        <v>55</v>
      </c>
      <c r="P34" s="219">
        <f t="shared" si="3"/>
        <v>44905</v>
      </c>
      <c r="Q34" s="10"/>
    </row>
    <row r="35" spans="1:18">
      <c r="A35" s="11">
        <v>22</v>
      </c>
      <c r="B35" s="12">
        <f ca="1">IF(AND(Input!$H$1=1,$B$3=1),Input_calc!N153,OFFSET(Input_calc!B153,0,(Input_calc!$B$3-1)*3))</f>
        <v>3.4565107753098654</v>
      </c>
      <c r="C35" s="12">
        <f ca="1">IF(AND(Input!$H$1=1,$B$3=1),Input_calc!O153,OFFSET(Input_calc!C153,0,(Input_calc!$B$3-1)*3))</f>
        <v>2.6547428119647938</v>
      </c>
      <c r="D35" s="1"/>
      <c r="E35" s="1"/>
      <c r="F35" s="1"/>
      <c r="L35">
        <f>YEAR(N35)</f>
        <v>2032</v>
      </c>
      <c r="M35" s="218">
        <f t="shared" si="6"/>
        <v>0</v>
      </c>
      <c r="N35" s="221">
        <f>EDATE(N34,12)</f>
        <v>48214</v>
      </c>
      <c r="O35">
        <v>55</v>
      </c>
      <c r="P35" s="219">
        <f t="shared" si="3"/>
        <v>44905</v>
      </c>
    </row>
    <row r="36" spans="1:18">
      <c r="A36" s="11">
        <v>23</v>
      </c>
      <c r="B36" s="12">
        <f ca="1">IF(AND(Input!$H$1=1,$B$3=1),Input_calc!N154,OFFSET(Input_calc!B154,0,(Input_calc!$B$3-1)*3))</f>
        <v>3.5414764711900673</v>
      </c>
      <c r="C36" s="12">
        <f ca="1">IF(AND(Input!$H$1=1,$B$3=1),Input_calc!O154,OFFSET(Input_calc!C154,0,(Input_calc!$B$3-1)*3))</f>
        <v>2.7199999701408251</v>
      </c>
      <c r="D36" s="1"/>
      <c r="E36" s="1"/>
      <c r="F36" s="1"/>
      <c r="L36">
        <f>YEAR(N36)</f>
        <v>2033</v>
      </c>
      <c r="M36" s="218">
        <f t="shared" si="6"/>
        <v>0</v>
      </c>
      <c r="N36" s="221">
        <f t="shared" si="5"/>
        <v>48580</v>
      </c>
      <c r="O36" s="222">
        <v>55</v>
      </c>
      <c r="P36" s="219">
        <f t="shared" si="3"/>
        <v>44905</v>
      </c>
    </row>
    <row r="37" spans="1:18">
      <c r="A37" s="11">
        <v>24</v>
      </c>
      <c r="B37" s="12">
        <f ca="1">IF(AND(Input!$H$1=1,$B$3=1),Input_calc!N155,OFFSET(Input_calc!B155,0,(Input_calc!$B$3-1)*3))</f>
        <v>3.6285307384492373</v>
      </c>
      <c r="C37" s="12">
        <f ca="1">IF(AND(Input!$H$1=1,$B$3=1),Input_calc!O155,OFFSET(Input_calc!C155,0,(Input_calc!$B$3-1)*3))</f>
        <v>2.786861237262559</v>
      </c>
      <c r="D37" s="1"/>
      <c r="E37" s="1"/>
      <c r="F37" s="1"/>
      <c r="L37">
        <f>YEAR(N37)</f>
        <v>2034</v>
      </c>
      <c r="M37" s="218">
        <f t="shared" si="6"/>
        <v>0</v>
      </c>
      <c r="N37" s="221">
        <f t="shared" si="5"/>
        <v>48945</v>
      </c>
      <c r="O37">
        <v>55</v>
      </c>
      <c r="P37" s="219">
        <f t="shared" si="3"/>
        <v>44905</v>
      </c>
    </row>
    <row r="38" spans="1:18">
      <c r="A38" s="11">
        <v>25</v>
      </c>
      <c r="B38" s="12">
        <f ca="1">IF(AND(Input!$H$1=1,$B$3=1),Input_calc!N156,OFFSET(Input_calc!B156,0,(Input_calc!$B$3-1)*3))</f>
        <v>3.7177249169882596</v>
      </c>
      <c r="C38" s="12">
        <f ca="1">IF(AND(Input!$H$1=1,$B$3=1),Input_calc!O156,OFFSET(Input_calc!C156,0,(Input_calc!$B$3-1)*3))</f>
        <v>2.855366044490983</v>
      </c>
      <c r="D38" s="1"/>
      <c r="E38" s="1"/>
      <c r="F38" s="1"/>
      <c r="I38" s="10"/>
      <c r="L38">
        <f>YEAR(N38)</f>
        <v>2035</v>
      </c>
      <c r="M38" s="218">
        <f t="shared" si="6"/>
        <v>0</v>
      </c>
      <c r="N38" s="221">
        <f t="shared" si="5"/>
        <v>49310</v>
      </c>
      <c r="O38" s="222">
        <v>55</v>
      </c>
      <c r="P38" s="219">
        <f t="shared" si="3"/>
        <v>44905</v>
      </c>
    </row>
    <row r="39" spans="1:18">
      <c r="A39" s="11">
        <v>26</v>
      </c>
      <c r="B39" s="12">
        <f ca="1">IF(AND(Input!$H$1=1,$B$3=1),Input_calc!N157,OFFSET(Input_calc!B157,0,(Input_calc!$B$3-1)*3))</f>
        <v>3.8091116087120125</v>
      </c>
      <c r="C39" s="12">
        <f ca="1">IF(AND(Input!$H$1=1,$B$3=1),Input_calc!O157,OFFSET(Input_calc!C157,0,(Input_calc!$B$3-1)*3))</f>
        <v>2.9255547922581955</v>
      </c>
      <c r="D39" s="1"/>
      <c r="E39" s="1"/>
      <c r="F39" s="1"/>
      <c r="I39" s="10"/>
      <c r="L39">
        <f>YEAR(N39)</f>
        <v>2036</v>
      </c>
      <c r="M39" s="218">
        <f t="shared" ref="M39" si="7">IF(YEAR(N39)=YEAR(P39),1,0)</f>
        <v>0</v>
      </c>
      <c r="N39" s="221">
        <f t="shared" si="5"/>
        <v>49675</v>
      </c>
      <c r="O39" s="222">
        <v>55</v>
      </c>
      <c r="P39" s="219">
        <f t="shared" ref="P39" si="8">EDATE(d_birth,12*O39)</f>
        <v>44905</v>
      </c>
    </row>
    <row r="40" spans="1:18">
      <c r="A40" s="11">
        <v>27</v>
      </c>
      <c r="B40" s="12">
        <f ca="1">IF(AND(Input!$H$1=1,$B$3=1),Input_calc!N158,OFFSET(Input_calc!B158,0,(Input_calc!$B$3-1)*3))</f>
        <v>3.9027447085511286</v>
      </c>
      <c r="C40" s="12">
        <f ca="1">IF(AND(Input!$H$1=1,$B$3=1),Input_calc!O158,OFFSET(Input_calc!C158,0,(Input_calc!$B$3-1)*3))</f>
        <v>2.9974688740933928</v>
      </c>
      <c r="D40" s="1"/>
      <c r="E40" s="1"/>
      <c r="F40" s="1"/>
      <c r="O40" s="2" t="s">
        <v>403</v>
      </c>
      <c r="P40">
        <f>VLOOKUP(YEAR(Input!B4),Input_calc!L24:O34,4,0)</f>
        <v>53</v>
      </c>
      <c r="Q40">
        <v>55</v>
      </c>
      <c r="R40">
        <v>50</v>
      </c>
    </row>
    <row r="41" spans="1:18">
      <c r="A41" s="11">
        <v>28</v>
      </c>
      <c r="B41" s="12">
        <f ca="1">IF(AND(Input!$H$1=1,$B$3=1),Input_calc!N159,OFFSET(Input_calc!B159,0,(Input_calc!$B$3-1)*3))</f>
        <v>4.1693448823721528</v>
      </c>
      <c r="C41" s="12">
        <f ca="1">IF(AND(Input!$H$1=1,$B$3=1),Input_calc!O159,OFFSET(Input_calc!C159,0,(Input_calc!$B$3-1)*3))</f>
        <v>3.2022288014095404</v>
      </c>
      <c r="D41" s="1"/>
      <c r="E41" s="1"/>
      <c r="F41" s="1"/>
    </row>
    <row r="42" spans="1:18">
      <c r="A42" s="11">
        <v>29</v>
      </c>
      <c r="B42" s="12">
        <f ca="1">IF(AND(Input!$H$1=1,$B$3=1),Input_calc!N160,OFFSET(Input_calc!B160,0,(Input_calc!$B$3-1)*3))</f>
        <v>4.4541567656410619</v>
      </c>
      <c r="C42" s="12">
        <f ca="1">IF(AND(Input!$H$1=1,$B$3=1),Input_calc!O160,OFFSET(Input_calc!C160,0,(Input_calc!$B$3-1)*3))</f>
        <v>3.4209760725799909</v>
      </c>
      <c r="D42" s="1"/>
      <c r="E42" s="1"/>
      <c r="F42" s="1"/>
      <c r="O42" s="10"/>
    </row>
    <row r="43" spans="1:18">
      <c r="A43" s="11">
        <v>30</v>
      </c>
      <c r="B43" s="12">
        <f ca="1">IF(AND(Input!$H$1=1,$B$3=1),Input_calc!N161,OFFSET(Input_calc!B161,0,(Input_calc!$B$3-1)*3))</f>
        <v>4.758424417415509</v>
      </c>
      <c r="C43" s="12">
        <f ca="1">IF(AND(Input!$H$1=1,$B$3=1),Input_calc!O161,OFFSET(Input_calc!C161,0,(Input_calc!$B$3-1)*3))</f>
        <v>3.6546661762624271</v>
      </c>
      <c r="D43" s="1"/>
      <c r="E43" s="1"/>
      <c r="F43" s="1"/>
      <c r="O43" s="10"/>
    </row>
    <row r="44" spans="1:18">
      <c r="A44" s="11">
        <v>31</v>
      </c>
      <c r="B44" s="12">
        <f ca="1">IF(AND(Input!$H$1=1,$B$3=1),Input_calc!N162,OFFSET(Input_calc!B162,0,(Input_calc!$B$3-1)*3))</f>
        <v>5.0834768796013181</v>
      </c>
      <c r="C44" s="12">
        <f ca="1">IF(AND(Input!$H$1=1,$B$3=1),Input_calc!O162,OFFSET(Input_calc!C162,0,(Input_calc!$B$3-1)*3))</f>
        <v>3.9043198714463734</v>
      </c>
      <c r="D44" s="1"/>
      <c r="E44" s="1"/>
      <c r="F44" s="1"/>
      <c r="K44" s="10"/>
      <c r="M44" s="10"/>
      <c r="O44" s="10"/>
    </row>
    <row r="45" spans="1:18">
      <c r="A45" s="11">
        <v>32</v>
      </c>
      <c r="B45" s="12">
        <f ca="1">IF(AND(Input!$H$1=1,$B$3=1),Input_calc!N163,OFFSET(Input_calc!B163,0,(Input_calc!$B$3-1)*3))</f>
        <v>5.4307339822110325</v>
      </c>
      <c r="C45" s="12">
        <f ca="1">IF(AND(Input!$H$1=1,$B$3=1),Input_calc!O163,OFFSET(Input_calc!C163,0,(Input_calc!$B$3-1)*3))</f>
        <v>4.1710276461311544</v>
      </c>
      <c r="D45" s="1"/>
      <c r="E45" s="1"/>
      <c r="F45" s="1"/>
      <c r="K45" s="10"/>
      <c r="M45" s="10"/>
      <c r="O45" s="10"/>
    </row>
    <row r="46" spans="1:18">
      <c r="A46" s="11">
        <v>33</v>
      </c>
      <c r="B46" s="12">
        <f ca="1">IF(AND(Input!$H$1=1,$B$3=1),Input_calc!N164,OFFSET(Input_calc!B164,0,(Input_calc!$B$3-1)*3))</f>
        <v>5.8050069452498194</v>
      </c>
      <c r="C46" s="12">
        <f ca="1">IF(AND(Input!$H$1=1,$B$3=1),Input_calc!O164,OFFSET(Input_calc!C164,0,(Input_calc!$B$3-1)*3))</f>
        <v>4.4584847156815623</v>
      </c>
      <c r="D46" s="1"/>
      <c r="E46" s="1"/>
      <c r="F46" s="1"/>
      <c r="K46" s="10"/>
      <c r="M46" s="10"/>
      <c r="O46" s="10"/>
    </row>
    <row r="47" spans="1:18">
      <c r="A47" s="11">
        <v>34</v>
      </c>
      <c r="B47" s="12">
        <f ca="1">IF(AND(Input!$H$1=1,$B$3=1),Input_calc!N165,OFFSET(Input_calc!B165,0,(Input_calc!$B$3-1)*3))</f>
        <v>6.205073889603228</v>
      </c>
      <c r="C47" s="12">
        <f ca="1">IF(AND(Input!$H$1=1,$B$3=1),Input_calc!O165,OFFSET(Input_calc!C165,0,(Input_calc!$B$3-1)*3))</f>
        <v>4.7657526265509329</v>
      </c>
      <c r="D47" s="1"/>
      <c r="E47" s="1"/>
      <c r="F47" s="1"/>
      <c r="K47" s="10"/>
      <c r="M47" s="10"/>
      <c r="O47" s="10"/>
    </row>
    <row r="48" spans="1:18">
      <c r="A48" s="11">
        <v>35</v>
      </c>
      <c r="B48" s="12">
        <f ca="1">IF(AND(Input!$H$1=1,$B$3=1),Input_calc!N166,OFFSET(Input_calc!B166,0,(Input_calc!$B$3-1)*3))</f>
        <v>6.6327124736590219</v>
      </c>
      <c r="C48" s="12">
        <f ca="1">IF(AND(Input!$H$1=1,$B$3=1),Input_calc!O166,OFFSET(Input_calc!C166,0,(Input_calc!$B$3-1)*3))</f>
        <v>5.0941966936865688</v>
      </c>
      <c r="D48" s="1"/>
      <c r="E48" s="1"/>
      <c r="F48" s="1"/>
      <c r="K48" s="10"/>
      <c r="M48" s="10"/>
      <c r="O48" s="10"/>
    </row>
    <row r="49" spans="1:15">
      <c r="A49" s="11">
        <v>36</v>
      </c>
      <c r="B49" s="12">
        <f ca="1">IF(AND(Input!$H$1=1,$B$3=1),Input_calc!N167,OFFSET(Input_calc!B167,0,(Input_calc!$B$3-1)*3))</f>
        <v>7.0898228676927211</v>
      </c>
      <c r="C49" s="12">
        <f ca="1">IF(AND(Input!$H$1=1,$B$3=1),Input_calc!O167,OFFSET(Input_calc!C167,0,(Input_calc!$B$3-1)*3))</f>
        <v>5.4452763262176056</v>
      </c>
      <c r="D49" s="1"/>
      <c r="E49" s="1"/>
      <c r="F49" s="1"/>
      <c r="K49" s="10"/>
      <c r="M49" s="10"/>
      <c r="O49" s="10"/>
    </row>
    <row r="50" spans="1:15">
      <c r="A50" s="11">
        <v>37</v>
      </c>
      <c r="B50" s="12">
        <f ca="1">IF(AND(Input!$H$1=1,$B$3=1),Input_calc!N168,OFFSET(Input_calc!B168,0,(Input_calc!$B$3-1)*3))</f>
        <v>7.5784361970886041</v>
      </c>
      <c r="C50" s="12">
        <f ca="1">IF(AND(Input!$H$1=1,$B$3=1),Input_calc!O168,OFFSET(Input_calc!C168,0,(Input_calc!$B$3-1)*3))</f>
        <v>5.8205515121969178</v>
      </c>
      <c r="D50" s="1"/>
      <c r="E50" s="1"/>
      <c r="F50" s="1"/>
      <c r="K50" s="10"/>
      <c r="M50" s="10"/>
      <c r="O50" s="10"/>
    </row>
    <row r="51" spans="1:15">
      <c r="A51" s="11">
        <v>38</v>
      </c>
      <c r="B51" s="12">
        <f ca="1">IF(AND(Input!$H$1=1,$B$3=1),Input_calc!N169,OFFSET(Input_calc!B169,0,(Input_calc!$B$3-1)*3))</f>
        <v>8.2532090202528607</v>
      </c>
      <c r="C51" s="12">
        <f ca="1">IF(AND(Input!$H$1=1,$B$3=1),Input_calc!O169,OFFSET(Input_calc!C169,0,(Input_calc!$B$3-1)*3))</f>
        <v>6.3388048660704968</v>
      </c>
      <c r="D51" s="1"/>
      <c r="E51" s="1"/>
      <c r="F51" s="1"/>
      <c r="K51" s="10"/>
      <c r="M51" s="10"/>
      <c r="O51" s="10"/>
    </row>
    <row r="52" spans="1:15">
      <c r="A52" s="11">
        <v>39</v>
      </c>
      <c r="B52" s="12">
        <f ca="1">IF(AND(Input!$H$1=1,$B$3=1),Input_calc!N170,OFFSET(Input_calc!B170,0,(Input_calc!$B$3-1)*3))</f>
        <v>8.9880626240742103</v>
      </c>
      <c r="C52" s="12">
        <f ca="1">IF(AND(Input!$H$1=1,$B$3=1),Input_calc!O170,OFFSET(Input_calc!C170,0,(Input_calc!$B$3-1)*3))</f>
        <v>6.903202737046688</v>
      </c>
      <c r="D52" s="1"/>
      <c r="E52" s="1"/>
      <c r="F52" s="1"/>
      <c r="K52" s="10"/>
      <c r="M52" s="10"/>
      <c r="O52" s="10"/>
    </row>
    <row r="53" spans="1:15">
      <c r="A53" s="11">
        <v>40</v>
      </c>
      <c r="B53" s="12">
        <f ca="1">IF(AND(Input!$H$1=1,$B$3=1),Input_calc!N171,OFFSET(Input_calc!B171,0,(Input_calc!$B$3-1)*3))</f>
        <v>9.7883465129791052</v>
      </c>
      <c r="C53" s="12">
        <f ca="1">IF(AND(Input!$H$1=1,$B$3=1),Input_calc!O171,OFFSET(Input_calc!C171,0,(Input_calc!$B$3-1)*3))</f>
        <v>7.5178537651231272</v>
      </c>
      <c r="D53" s="1"/>
      <c r="E53" s="1"/>
      <c r="F53" s="1"/>
      <c r="K53" s="10"/>
      <c r="M53" s="10"/>
      <c r="O53" s="10"/>
    </row>
    <row r="54" spans="1:15">
      <c r="A54" s="11">
        <v>41</v>
      </c>
      <c r="B54" s="12">
        <f ca="1">IF(AND(Input!$H$1=1,$B$3=1),Input_calc!N172,OFFSET(Input_calc!B172,0,(Input_calc!$B$3-1)*3))</f>
        <v>10.659886503407515</v>
      </c>
      <c r="C54" s="12">
        <f ca="1">IF(AND(Input!$H$1=1,$B$3=1),Input_calc!O172,OFFSET(Input_calc!C172,0,(Input_calc!$B$3-1)*3))</f>
        <v>8.187232417565566</v>
      </c>
      <c r="D54" s="1"/>
      <c r="E54" s="1"/>
      <c r="F54" s="1"/>
      <c r="K54" s="10"/>
      <c r="M54" s="10"/>
      <c r="O54" s="10"/>
    </row>
    <row r="55" spans="1:15">
      <c r="A55" s="11">
        <v>42</v>
      </c>
      <c r="B55" s="12">
        <f ca="1">IF(AND(Input!$H$1=1,$B$3=1),Input_calc!N173,OFFSET(Input_calc!B173,0,(Input_calc!$B$3-1)*3))</f>
        <v>11.609027133934712</v>
      </c>
      <c r="C55" s="12">
        <f ca="1">IF(AND(Input!$H$1=1,$B$3=1),Input_calc!O173,OFFSET(Input_calc!C173,0,(Input_calc!$B$3-1)*3))</f>
        <v>8.9162115616302682</v>
      </c>
      <c r="D55" s="1"/>
      <c r="E55" s="1"/>
      <c r="F55" s="1"/>
    </row>
    <row r="56" spans="1:15">
      <c r="A56" s="11">
        <v>43</v>
      </c>
      <c r="B56" s="12">
        <f ca="1">IF(AND(Input!$H$1=1,$B$3=1),Input_calc!N174,OFFSET(Input_calc!B174,0,(Input_calc!$B$3-1)*3))</f>
        <v>12.48372187973272</v>
      </c>
      <c r="C56" s="12">
        <f ca="1">IF(AND(Input!$H$1=1,$B$3=1),Input_calc!O174,OFFSET(Input_calc!C174,0,(Input_calc!$B$3-1)*3))</f>
        <v>9.5880131962895643</v>
      </c>
      <c r="D56" s="1"/>
      <c r="E56" s="1"/>
      <c r="F56" s="1"/>
    </row>
    <row r="57" spans="1:15">
      <c r="A57" s="11">
        <v>44</v>
      </c>
      <c r="B57" s="12">
        <f ca="1">IF(AND(Input!$H$1=1,$B$3=1),Input_calc!N175,OFFSET(Input_calc!B175,0,(Input_calc!$B$3-1)*3))</f>
        <v>13.424321450241678</v>
      </c>
      <c r="C57" s="12">
        <f ca="1">IF(AND(Input!$H$1=1,$B$3=1),Input_calc!O175,OFFSET(Input_calc!C175,0,(Input_calc!$B$3-1)*3))</f>
        <v>10.310432454051599</v>
      </c>
      <c r="D57" s="1"/>
      <c r="E57" s="1"/>
      <c r="F57" s="1"/>
    </row>
    <row r="58" spans="1:15">
      <c r="A58" s="11">
        <v>45</v>
      </c>
      <c r="B58" s="12">
        <f ca="1">IF(AND(Input!$H$1=1,$B$3=1),Input_calc!N176,OFFSET(Input_calc!B176,0,(Input_calc!$B$3-1)*3))</f>
        <v>14.435791515989559</v>
      </c>
      <c r="C58" s="12">
        <f ca="1">IF(AND(Input!$H$1=1,$B$3=1),Input_calc!O176,OFFSET(Input_calc!C176,0,(Input_calc!$B$3-1)*3))</f>
        <v>11.087283174651775</v>
      </c>
      <c r="D58" s="1"/>
      <c r="E58" s="1"/>
      <c r="F58" s="1"/>
    </row>
    <row r="59" spans="1:15">
      <c r="A59" s="11">
        <v>46</v>
      </c>
      <c r="B59" s="12">
        <f ca="1">IF(AND(Input!$H$1=1,$B$3=1),Input_calc!N177,OFFSET(Input_calc!B177,0,(Input_calc!$B$3-1)*3))</f>
        <v>15.523471891338273</v>
      </c>
      <c r="C59" s="12">
        <f ca="1">IF(AND(Input!$H$1=1,$B$3=1),Input_calc!O177,OFFSET(Input_calc!C177,0,(Input_calc!$B$3-1)*3))</f>
        <v>11.922666555718571</v>
      </c>
      <c r="D59" s="1"/>
      <c r="E59" s="1"/>
      <c r="F59" s="1"/>
    </row>
    <row r="60" spans="1:15">
      <c r="A60" s="11">
        <v>47</v>
      </c>
      <c r="B60" s="12">
        <f ca="1">IF(AND(Input!$H$1=1,$B$3=1),Input_calc!N178,OFFSET(Input_calc!B178,0,(Input_calc!$B$3-1)*3))</f>
        <v>16.693104724756804</v>
      </c>
      <c r="C60" s="12">
        <f ca="1">IF(AND(Input!$H$1=1,$B$3=1),Input_calc!O178,OFFSET(Input_calc!C178,0,(Input_calc!$B$3-1)*3))</f>
        <v>12.820992804065794</v>
      </c>
      <c r="D60" s="1"/>
      <c r="E60" s="1"/>
      <c r="F60" s="1"/>
    </row>
    <row r="61" spans="1:15">
      <c r="A61" s="11">
        <v>48</v>
      </c>
      <c r="B61" s="12">
        <f ca="1">IF(AND(Input!$H$1=1,$B$3=1),Input_calc!N179,OFFSET(Input_calc!B179,0,(Input_calc!$B$3-1)*3))</f>
        <v>18.33084620998558</v>
      </c>
      <c r="C61" s="12">
        <f ca="1">IF(AND(Input!$H$1=1,$B$3=1),Input_calc!O179,OFFSET(Input_calc!C179,0,(Input_calc!$B$3-1)*3))</f>
        <v>14.078845800452843</v>
      </c>
      <c r="D61" s="1"/>
      <c r="E61" s="1"/>
      <c r="F61" s="1"/>
    </row>
    <row r="62" spans="1:15">
      <c r="A62" s="11">
        <v>49</v>
      </c>
      <c r="B62" s="12">
        <f ca="1">IF(AND(Input!$H$1=1,$B$3=1),Input_calc!N180,OFFSET(Input_calc!B180,0,(Input_calc!$B$3-1)*3))</f>
        <v>20.129264646366622</v>
      </c>
      <c r="C62" s="12">
        <f ca="1">IF(AND(Input!$H$1=1,$B$3=1),Input_calc!O180,OFFSET(Input_calc!C180,0,(Input_calc!$B$3-1)*3))</f>
        <v>15.460105321178489</v>
      </c>
      <c r="D62" s="1"/>
      <c r="E62" s="1"/>
      <c r="F62" s="1"/>
    </row>
    <row r="63" spans="1:15">
      <c r="A63" s="11">
        <v>50</v>
      </c>
      <c r="B63" s="12">
        <f ca="1">IF(AND(Input!$H$1=1,$B$3=1),Input_calc!N181,OFFSET(Input_calc!B181,0,(Input_calc!$B$3-1)*3))</f>
        <v>22.104123866509919</v>
      </c>
      <c r="C63" s="12">
        <f ca="1">IF(AND(Input!$H$1=1,$B$3=1),Input_calc!O181,OFFSET(Input_calc!C181,0,(Input_calc!$B$3-1)*3))</f>
        <v>16.976878639742157</v>
      </c>
      <c r="D63" s="1"/>
      <c r="E63" s="1"/>
      <c r="F63" s="1"/>
    </row>
    <row r="64" spans="1:15">
      <c r="A64" s="11">
        <v>51</v>
      </c>
      <c r="B64" s="12">
        <f ca="1">IF(AND(Input!$H$1=1,$B$3=1),Input_calc!N182,OFFSET(Input_calc!B182,0,(Input_calc!$B$3-1)*3))</f>
        <v>24.272734274682282</v>
      </c>
      <c r="C64" s="12">
        <f ca="1">IF(AND(Input!$H$1=1,$B$3=1),Input_calc!O182,OFFSET(Input_calc!C182,0,(Input_calc!$B$3-1)*3))</f>
        <v>18.642460860451855</v>
      </c>
      <c r="D64" s="1"/>
      <c r="E64" s="1"/>
      <c r="F64" s="1"/>
    </row>
    <row r="65" spans="1:6">
      <c r="A65" s="11">
        <v>52</v>
      </c>
      <c r="B65" s="12">
        <f ca="1">IF(AND(Input!$H$1=1,$B$3=1),Input_calc!N183,OFFSET(Input_calc!B183,0,(Input_calc!$B$3-1)*3))</f>
        <v>26.654104579190506</v>
      </c>
      <c r="C65" s="12">
        <f ca="1">IF(AND(Input!$H$1=1,$B$3=1),Input_calc!O183,OFFSET(Input_calc!C183,0,(Input_calc!$B$3-1)*3))</f>
        <v>20.47145145515147</v>
      </c>
      <c r="D65" s="1"/>
      <c r="E65" s="1"/>
      <c r="F65" s="1"/>
    </row>
    <row r="66" spans="1:6">
      <c r="A66" s="11">
        <v>53</v>
      </c>
      <c r="B66" s="12">
        <f ca="1">IF(AND(Input!$H$1=1,$B$3=1),Input_calc!N184,OFFSET(Input_calc!B184,0,(Input_calc!$B$3-1)*3))</f>
        <v>28.791334011358312</v>
      </c>
      <c r="C66" s="12">
        <f ca="1">IF(AND(Input!$H$1=1,$B$3=1),Input_calc!O184,OFFSET(Input_calc!C184,0,(Input_calc!$B$3-1)*3))</f>
        <v>22.112931792228807</v>
      </c>
      <c r="D66" s="1"/>
      <c r="E66" s="1"/>
      <c r="F66" s="1"/>
    </row>
    <row r="67" spans="1:6">
      <c r="A67" s="11">
        <v>54</v>
      </c>
      <c r="B67" s="12">
        <f ca="1">IF(AND(Input!$H$1=1,$B$3=1),Input_calc!N185,OFFSET(Input_calc!B185,0,(Input_calc!$B$3-1)*3))</f>
        <v>31.099934784557419</v>
      </c>
      <c r="C67" s="12">
        <f ca="1">IF(AND(Input!$H$1=1,$B$3=1),Input_calc!O185,OFFSET(Input_calc!C185,0,(Input_calc!$B$3-1)*3))</f>
        <v>23.886032386077606</v>
      </c>
      <c r="D67" s="1"/>
      <c r="E67" s="1"/>
      <c r="F67" s="1"/>
    </row>
    <row r="68" spans="1:6">
      <c r="A68" s="11">
        <v>55</v>
      </c>
      <c r="B68" s="12">
        <f ca="1">IF(AND(Input!$H$1=1,$B$3=1),Input_calc!N186,OFFSET(Input_calc!B186,0,(Input_calc!$B$3-1)*3))</f>
        <v>33.593648117247966</v>
      </c>
      <c r="C68" s="12">
        <f ca="1">IF(AND(Input!$H$1=1,$B$3=1),Input_calc!O186,OFFSET(Input_calc!C186,0,(Input_calc!$B$3-1)*3))</f>
        <v>25.801307059123438</v>
      </c>
      <c r="D68" s="1"/>
      <c r="E68" s="1"/>
      <c r="F68" s="1"/>
    </row>
    <row r="69" spans="1:6">
      <c r="A69" s="11">
        <v>56</v>
      </c>
      <c r="B69" s="12">
        <f ca="1">IF(AND(Input!$H$1=1,$B$3=1),Input_calc!N187,OFFSET(Input_calc!B187,0,(Input_calc!$B$3-1)*3))</f>
        <v>36.287317052055286</v>
      </c>
      <c r="C69" s="12">
        <f ca="1">IF(AND(Input!$H$1=1,$B$3=1),Input_calc!O187,OFFSET(Input_calc!C187,0,(Input_calc!$B$3-1)*3))</f>
        <v>27.870155880186793</v>
      </c>
      <c r="D69" s="1"/>
      <c r="E69" s="1"/>
      <c r="F69" s="1"/>
    </row>
    <row r="70" spans="1:6">
      <c r="A70" s="11">
        <v>57</v>
      </c>
      <c r="B70" s="12">
        <f ca="1">IF(AND(Input!$H$1=1,$B$3=1),Input_calc!N188,OFFSET(Input_calc!B188,0,(Input_calc!$B$3-1)*3))</f>
        <v>39.196974804302791</v>
      </c>
      <c r="C70" s="12">
        <f ca="1">IF(AND(Input!$H$1=1,$B$3=1),Input_calc!O188,OFFSET(Input_calc!C188,0,(Input_calc!$B$3-1)*3))</f>
        <v>30.104893019799569</v>
      </c>
      <c r="D70" s="1"/>
      <c r="E70" s="1"/>
      <c r="F70" s="1"/>
    </row>
    <row r="71" spans="1:6">
      <c r="A71" s="11">
        <v>58</v>
      </c>
      <c r="B71" s="12">
        <f ca="1">IF(AND(Input!$H$1=1,$B$3=1),Input_calc!N189,OFFSET(Input_calc!B189,0,(Input_calc!$B$3-1)*3))</f>
        <v>41.380250521486872</v>
      </c>
      <c r="C71" s="12">
        <f ca="1">IF(AND(Input!$H$1=1,$B$3=1),Input_calc!O189,OFFSET(Input_calc!C189,0,(Input_calc!$B$3-1)*3))</f>
        <v>31.781738802585281</v>
      </c>
      <c r="D71" s="1"/>
      <c r="E71" s="1"/>
      <c r="F71" s="1"/>
    </row>
    <row r="72" spans="1:6">
      <c r="A72" s="11">
        <v>59</v>
      </c>
      <c r="B72" s="12">
        <f ca="1">IF(AND(Input!$H$1=1,$B$3=1),Input_calc!N190,OFFSET(Input_calc!B190,0,(Input_calc!$B$3-1)*3))</f>
        <v>43.685134931205113</v>
      </c>
      <c r="C72" s="12">
        <f ca="1">IF(AND(Input!$H$1=1,$B$3=1),Input_calc!O190,OFFSET(Input_calc!C190,0,(Input_calc!$B$3-1)*3))</f>
        <v>33.551985076028672</v>
      </c>
      <c r="D72" s="1"/>
      <c r="E72" s="1"/>
      <c r="F72" s="1"/>
    </row>
    <row r="73" spans="1:6">
      <c r="A73" s="11">
        <v>60</v>
      </c>
      <c r="B73" s="12">
        <f ca="1">IF(AND(Input!$H$1=1,$B$3=1),Input_calc!N191,OFFSET(Input_calc!B191,0,(Input_calc!$B$3-1)*3))</f>
        <v>46.118401650726035</v>
      </c>
      <c r="C73" s="12">
        <f ca="1">IF(AND(Input!$H$1=1,$B$3=1),Input_calc!O191,OFFSET(Input_calc!C191,0,(Input_calc!$B$3-1)*3))</f>
        <v>35.42083425751639</v>
      </c>
      <c r="D73" s="1"/>
      <c r="E73" s="1"/>
      <c r="F73" s="1"/>
    </row>
    <row r="74" spans="1:6">
      <c r="A74" s="11">
        <v>61</v>
      </c>
      <c r="B74" s="12">
        <f ca="1">IF(AND(Input!$H$1=1,$B$3=1),Input_calc!N192,OFFSET(Input_calc!B192,0,(Input_calc!$B$3-1)*3))</f>
        <v>48.687201588529383</v>
      </c>
      <c r="C74" s="12">
        <f ca="1">IF(AND(Input!$H$1=1,$B$3=1),Input_calc!O192,OFFSET(Input_calc!C192,0,(Input_calc!$B$3-1)*3))</f>
        <v>37.393778539643705</v>
      </c>
      <c r="D74" s="1"/>
      <c r="E74" s="1"/>
      <c r="F74" s="1"/>
    </row>
    <row r="75" spans="1:6">
      <c r="A75" s="11">
        <v>62</v>
      </c>
      <c r="B75" s="12">
        <f ca="1">IF(AND(Input!$H$1=1,$B$3=1),Input_calc!N193,OFFSET(Input_calc!B193,0,(Input_calc!$B$3-1)*3))</f>
        <v>51.399083959467191</v>
      </c>
      <c r="C75" s="12">
        <f ca="1">IF(AND(Input!$H$1=1,$B$3=1),Input_calc!O193,OFFSET(Input_calc!C193,0,(Input_calc!$B$3-1)*3))</f>
        <v>39.476616030724806</v>
      </c>
      <c r="D75" s="1"/>
      <c r="E75" s="1"/>
      <c r="F75" s="1"/>
    </row>
    <row r="76" spans="1:6">
      <c r="A76" s="11">
        <v>63</v>
      </c>
      <c r="B76" s="12">
        <f ca="1">IF(AND(Input!$H$1=1,$B$3=1),Input_calc!N194,OFFSET(Input_calc!B194,0,(Input_calc!$B$3-1)*3))</f>
        <v>53.814516296230636</v>
      </c>
      <c r="C76" s="12">
        <f ca="1">IF(AND(Input!$H$1=1,$B$3=1),Input_calc!O194,OFFSET(Input_calc!C194,0,(Input_calc!$B$3-1)*3))</f>
        <v>41.331767670816319</v>
      </c>
      <c r="D76" s="1"/>
      <c r="E76" s="1"/>
      <c r="F76" s="1"/>
    </row>
    <row r="77" spans="1:6">
      <c r="A77" s="11">
        <v>64</v>
      </c>
      <c r="B77" s="12">
        <f ca="1">IF(AND(Input!$H$1=1,$B$3=1),Input_calc!N195,OFFSET(Input_calc!B195,0,(Input_calc!$B$3-1)*3))</f>
        <v>56.343458698233441</v>
      </c>
      <c r="C77" s="12">
        <f ca="1">IF(AND(Input!$H$1=1,$B$3=1),Input_calc!O195,OFFSET(Input_calc!C195,0,(Input_calc!$B$3-1)*3))</f>
        <v>43.274099721839086</v>
      </c>
      <c r="D77" s="1"/>
      <c r="E77" s="1"/>
      <c r="F77" s="1"/>
    </row>
    <row r="78" spans="1:6">
      <c r="A78" s="11">
        <v>65</v>
      </c>
      <c r="B78" s="12">
        <f ca="1">IF(AND(Input!$H$1=1,$B$3=1),Input_calc!N196,OFFSET(Input_calc!B196,0,(Input_calc!$B$3-1)*3))</f>
        <v>58.991245421672538</v>
      </c>
      <c r="C78" s="12">
        <f ca="1">IF(AND(Input!$H$1=1,$B$3=1),Input_calc!O196,OFFSET(Input_calc!C196,0,(Input_calc!$B$3-1)*3))</f>
        <v>45.307709112521692</v>
      </c>
      <c r="D78" s="1"/>
      <c r="E78" s="1"/>
      <c r="F78" s="1"/>
    </row>
    <row r="79" spans="1:6">
      <c r="A79" s="11">
        <v>66</v>
      </c>
      <c r="B79" s="12">
        <f ca="1">IF(AND(Input!$H$1=1,$B$3=1),Input_calc!N197,OFFSET(Input_calc!B197,0,(Input_calc!$B$3-1)*3))</f>
        <v>61.763461399097778</v>
      </c>
      <c r="C79" s="12">
        <f ca="1">IF(AND(Input!$H$1=1,$B$3=1),Input_calc!O197,OFFSET(Input_calc!C197,0,(Input_calc!$B$3-1)*3))</f>
        <v>47.436885301368918</v>
      </c>
      <c r="D79" s="1"/>
      <c r="E79" s="1"/>
      <c r="F79" s="1"/>
    </row>
    <row r="80" spans="1:6">
      <c r="A80" s="11">
        <v>67</v>
      </c>
      <c r="B80" s="12">
        <f ca="1">IF(AND(Input!$H$1=1,$B$3=1),Input_calc!N198,OFFSET(Input_calc!B198,0,(Input_calc!$B$3-1)*3))</f>
        <v>64.665954019617388</v>
      </c>
      <c r="C80" s="12">
        <f ca="1">IF(AND(Input!$H$1=1,$B$3=1),Input_calc!O198,OFFSET(Input_calc!C198,0,(Input_calc!$B$3-1)*3))</f>
        <v>49.666119324345317</v>
      </c>
      <c r="D80" s="1"/>
      <c r="E80" s="1"/>
      <c r="F80" s="1"/>
    </row>
    <row r="81" spans="1:6">
      <c r="A81" s="11">
        <v>68</v>
      </c>
      <c r="B81" s="12">
        <f ca="1">IF(AND(Input!$H$1=1,$B$3=1),Input_calc!N199,OFFSET(Input_calc!B199,0,(Input_calc!$B$3-1)*3))</f>
        <v>68.379582687658612</v>
      </c>
      <c r="C81" s="12">
        <f ca="1">IF(AND(Input!$H$1=1,$B$3=1),Input_calc!O199,OFFSET(Input_calc!C199,0,(Input_calc!$B$3-1)*3))</f>
        <v>52.518339280727496</v>
      </c>
      <c r="D81" s="1"/>
      <c r="E81" s="1"/>
      <c r="F81" s="1"/>
    </row>
    <row r="82" spans="1:6">
      <c r="A82" s="11">
        <v>69</v>
      </c>
      <c r="B82" s="12">
        <f ca="1">IF(AND(Input!$H$1=1,$B$3=1),Input_calc!N200,OFFSET(Input_calc!B200,0,(Input_calc!$B$3-1)*3))</f>
        <v>72.306477178390921</v>
      </c>
      <c r="C82" s="12">
        <f ca="1">IF(AND(Input!$H$1=1,$B$3=1),Input_calc!O200,OFFSET(Input_calc!C200,0,(Input_calc!$B$3-1)*3))</f>
        <v>55.534356183403339</v>
      </c>
      <c r="D82" s="1"/>
      <c r="E82" s="1"/>
      <c r="F82" s="1"/>
    </row>
    <row r="83" spans="1:6">
      <c r="A83" s="11">
        <v>70</v>
      </c>
      <c r="B83" s="12">
        <f ca="1">IF(AND(Input!$H$1=1,$B$3=1),Input_calc!N201,OFFSET(Input_calc!B201,0,(Input_calc!$B$3-1)*3))</f>
        <v>76.458884895955592</v>
      </c>
      <c r="C83" s="12">
        <f ca="1">IF(AND(Input!$H$1=1,$B$3=1),Input_calc!O201,OFFSET(Input_calc!C201,0,(Input_calc!$B$3-1)*3))</f>
        <v>58.723576543800945</v>
      </c>
      <c r="D83" s="1"/>
      <c r="E83" s="1"/>
      <c r="F83" s="1"/>
    </row>
    <row r="84" spans="1:6">
      <c r="A84" s="11">
        <v>71</v>
      </c>
      <c r="B84" s="12">
        <f ca="1">IF(AND(Input!$H$1=1,$B$3=1),Input_calc!N202,OFFSET(Input_calc!B202,0,(Input_calc!$B$3-1)*3))</f>
        <v>80.849756586953106</v>
      </c>
      <c r="C84" s="12">
        <f ca="1">IF(AND(Input!$H$1=1,$B$3=1),Input_calc!O202,OFFSET(Input_calc!C202,0,(Input_calc!$B$3-1)*3))</f>
        <v>62.095947069360896</v>
      </c>
      <c r="D84" s="1"/>
      <c r="E84" s="1"/>
      <c r="F84" s="1"/>
    </row>
    <row r="85" spans="1:6">
      <c r="A85" s="11">
        <v>72</v>
      </c>
      <c r="B85" s="12">
        <f ca="1">IF(AND(Input!$H$1=1,$B$3=1),Input_calc!N203,OFFSET(Input_calc!B203,0,(Input_calc!$B$3-1)*3))</f>
        <v>85.492786731909746</v>
      </c>
      <c r="C85" s="12">
        <f ca="1">IF(AND(Input!$H$1=1,$B$3=1),Input_calc!O203,OFFSET(Input_calc!C203,0,(Input_calc!$B$3-1)*3))</f>
        <v>65.661985685848208</v>
      </c>
      <c r="D85" s="1"/>
      <c r="E85" s="1"/>
      <c r="F85" s="1"/>
    </row>
    <row r="86" spans="1:6">
      <c r="A86" s="11">
        <v>73</v>
      </c>
      <c r="B86" s="12">
        <f ca="1">IF(AND(Input!$H$1=1,$B$3=1),Input_calc!N204,OFFSET(Input_calc!B204,0,(Input_calc!$B$3-1)*3))</f>
        <v>89.65246866106672</v>
      </c>
      <c r="C86" s="12">
        <f ca="1">IF(AND(Input!$H$1=1,$B$3=1),Input_calc!O204,OFFSET(Input_calc!C204,0,(Input_calc!$B$3-1)*3))</f>
        <v>68.85679294071619</v>
      </c>
      <c r="D86" s="1"/>
      <c r="E86" s="1"/>
      <c r="F86" s="1"/>
    </row>
    <row r="87" spans="1:6">
      <c r="A87" s="11">
        <v>74</v>
      </c>
      <c r="B87" s="12">
        <f ca="1">IF(AND(Input!$H$1=1,$B$3=1),Input_calc!N205,OFFSET(Input_calc!B205,0,(Input_calc!$B$3-1)*3))</f>
        <v>94.899667337125081</v>
      </c>
      <c r="C87" s="12">
        <f ca="1">IF(AND(Input!$H$1=1,$B$3=1),Input_calc!O205,OFFSET(Input_calc!C205,0,(Input_calc!$B$3-1)*3))</f>
        <v>72.886857903255859</v>
      </c>
      <c r="D87" s="1"/>
      <c r="E87" s="1"/>
      <c r="F87" s="1"/>
    </row>
    <row r="88" spans="1:6">
      <c r="A88" s="11">
        <v>75</v>
      </c>
      <c r="B88" s="12">
        <f ca="1">IF(AND(Input!$H$1=1,$B$3=1),Input_calc!N206,OFFSET(Input_calc!B206,0,(Input_calc!$B$3-1)*3))</f>
        <v>99.539717271236938</v>
      </c>
      <c r="C88" s="12">
        <f ca="1">IF(AND(Input!$H$1=1,$B$3=1),Input_calc!O206,OFFSET(Input_calc!C206,0,(Input_calc!$B$3-1)*3))</f>
        <v>76.450607594919092</v>
      </c>
      <c r="D88" s="1"/>
      <c r="E88" s="1"/>
      <c r="F88" s="1"/>
    </row>
    <row r="89" spans="1:6">
      <c r="A89" s="11">
        <v>76</v>
      </c>
      <c r="B89" s="12">
        <f ca="1">IF(AND(Input!$H$1=1,$B$3=1),Input_calc!N207,OFFSET(Input_calc!B207,0,(Input_calc!$B$3-1)*3))</f>
        <v>105.10103109503842</v>
      </c>
      <c r="C89" s="12">
        <f ca="1">IF(AND(Input!$H$1=1,$B$3=1),Input_calc!O207,OFFSET(Input_calc!C207,0,(Input_calc!$B$3-1)*3))</f>
        <v>80.721925944127449</v>
      </c>
      <c r="D89" s="1"/>
      <c r="E89" s="1"/>
      <c r="F89" s="1"/>
    </row>
    <row r="90" spans="1:6">
      <c r="A90" s="11">
        <v>77</v>
      </c>
      <c r="B90" s="12">
        <f ca="1">IF(AND(Input!$H$1=1,$B$3=1),Input_calc!N208,OFFSET(Input_calc!B208,0,(Input_calc!$B$3-1)*3))</f>
        <v>111.0260017174016</v>
      </c>
      <c r="C90" s="12">
        <f ca="1">IF(AND(Input!$H$1=1,$B$3=1),Input_calc!O208,OFFSET(Input_calc!C208,0,(Input_calc!$B$3-1)*3))</f>
        <v>85.272547710787833</v>
      </c>
      <c r="D90" s="1"/>
      <c r="E90" s="1"/>
      <c r="F90" s="1"/>
    </row>
    <row r="91" spans="1:6">
      <c r="A91" s="11">
        <v>78</v>
      </c>
      <c r="B91" s="12">
        <f ca="1">IF(AND(Input!$H$1=1,$B$3=1),Input_calc!N209,OFFSET(Input_calc!B209,0,(Input_calc!$B$3-1)*3))</f>
        <v>117.60450049949885</v>
      </c>
      <c r="C91" s="12">
        <f ca="1">IF(AND(Input!$H$1=1,$B$3=1),Input_calc!O209,OFFSET(Input_calc!C209,0,(Input_calc!$B$3-1)*3))</f>
        <v>90.325106053738821</v>
      </c>
      <c r="D91" s="1"/>
      <c r="E91" s="1"/>
      <c r="F91" s="1"/>
    </row>
    <row r="92" spans="1:6">
      <c r="A92" s="11">
        <v>79</v>
      </c>
      <c r="B92" s="12">
        <f ca="1">IF(AND(Input!$H$1=1,$B$3=1),Input_calc!N210,OFFSET(Input_calc!B210,0,(Input_calc!$B$3-1)*3))</f>
        <v>125.11164171502467</v>
      </c>
      <c r="C92" s="12">
        <f ca="1">IF(AND(Input!$H$1=1,$B$3=1),Input_calc!O210,OFFSET(Input_calc!C210,0,(Input_calc!$B$3-1)*3))</f>
        <v>96.090900080096276</v>
      </c>
      <c r="D92" s="1"/>
      <c r="E92" s="1"/>
      <c r="F92" s="1"/>
    </row>
    <row r="93" spans="1:6">
      <c r="A93" s="11">
        <v>80</v>
      </c>
      <c r="B93" s="12">
        <f ca="1">IF(AND(Input!$H$1=1,$B$3=1),Input_calc!N211,OFFSET(Input_calc!B211,0,(Input_calc!$B$3-1)*3))</f>
        <v>132.22666603471004</v>
      </c>
      <c r="C93" s="12">
        <f ca="1">IF(AND(Input!$H$1=1,$B$3=1),Input_calc!O211,OFFSET(Input_calc!C211,0,(Input_calc!$B$3-1)*3))</f>
        <v>101.55553216067936</v>
      </c>
      <c r="D93" s="1"/>
      <c r="E93" s="1"/>
      <c r="F93" s="1"/>
    </row>
    <row r="94" spans="1:6">
      <c r="A94" s="11">
        <v>81</v>
      </c>
      <c r="B94" s="12">
        <f ca="1">IF(AND(Input!$H$1=1,$B$3=1),Input_calc!N212,OFFSET(Input_calc!B212,0,(Input_calc!$B$3-1)*3))</f>
        <v>139.64631880304566</v>
      </c>
      <c r="C94" s="12">
        <f ca="1">IF(AND(Input!$H$1=1,$B$3=1),Input_calc!O212,OFFSET(Input_calc!C212,0,(Input_calc!$B$3-1)*3))</f>
        <v>107.25413145182374</v>
      </c>
      <c r="D94" s="1"/>
      <c r="E94" s="1"/>
      <c r="F94" s="1"/>
    </row>
    <row r="95" spans="1:6">
      <c r="A95" s="11">
        <v>82</v>
      </c>
      <c r="B95" s="12">
        <f ca="1">IF(AND(Input!$H$1=1,$B$3=1),Input_calc!N213,OFFSET(Input_calc!B213,0,(Input_calc!$B$3-1)*3))</f>
        <v>150.50753518675501</v>
      </c>
      <c r="C95" s="12">
        <f ca="1">IF(AND(Input!$H$1=1,$B$3=1),Input_calc!O213,OFFSET(Input_calc!C213,0,(Input_calc!$B$3-1)*3))</f>
        <v>115.59599351972422</v>
      </c>
      <c r="D95" s="1"/>
      <c r="E95" s="1"/>
      <c r="F95" s="1"/>
    </row>
    <row r="96" spans="1:6">
      <c r="A96" s="11">
        <v>83</v>
      </c>
      <c r="B96" s="12">
        <f ca="1">IF(AND(Input!$H$1=1,$B$3=1),Input_calc!N214,OFFSET(Input_calc!B214,0,(Input_calc!$B$3-1)*3))</f>
        <v>164.04189255931209</v>
      </c>
      <c r="C96" s="12">
        <f ca="1">IF(AND(Input!$H$1=1,$B$3=1),Input_calc!O214,OFFSET(Input_calc!C214,0,(Input_calc!$B$3-1)*3))</f>
        <v>125.99093809967785</v>
      </c>
      <c r="D96" s="1"/>
      <c r="E96" s="1"/>
      <c r="F96" s="1"/>
    </row>
    <row r="97" spans="1:6">
      <c r="A97" s="11">
        <v>84</v>
      </c>
      <c r="B97" s="12">
        <f ca="1">IF(AND(Input!$H$1=1,$B$3=1),Input_calc!N215,OFFSET(Input_calc!B215,0,(Input_calc!$B$3-1)*3))</f>
        <v>170.82488241074549</v>
      </c>
      <c r="C97" s="12">
        <f ca="1">IF(AND(Input!$H$1=1,$B$3=1),Input_calc!O215,OFFSET(Input_calc!C215,0,(Input_calc!$B$3-1)*3))</f>
        <v>131.2005540165004</v>
      </c>
      <c r="D97" s="1"/>
      <c r="E97" s="1"/>
      <c r="F97" s="1"/>
    </row>
    <row r="98" spans="1:6">
      <c r="A98" s="11">
        <v>85</v>
      </c>
      <c r="B98" s="12">
        <f ca="1">IF(AND(Input!$H$1=1,$B$3=1),Input_calc!N216,OFFSET(Input_calc!B216,0,(Input_calc!$B$3-1)*3))</f>
        <v>183.47276045695361</v>
      </c>
      <c r="C98" s="12">
        <f ca="1">IF(AND(Input!$H$1=1,$B$3=1),Input_calc!O216,OFFSET(Input_calc!C216,0,(Input_calc!$B$3-1)*3))</f>
        <v>140.91464591796952</v>
      </c>
      <c r="D98" s="1"/>
      <c r="E98" s="1"/>
      <c r="F98" s="1"/>
    </row>
    <row r="99" spans="1:6">
      <c r="A99" s="11">
        <v>86</v>
      </c>
      <c r="B99" s="12">
        <f ca="1">IF(AND(Input!$H$1=1,$B$3=1),Input_calc!N217,OFFSET(Input_calc!B217,0,(Input_calc!$B$3-1)*3))</f>
        <v>192.64639847980129</v>
      </c>
      <c r="C99" s="12">
        <f ca="1">IF(AND(Input!$H$1=1,$B$3=1),Input_calc!O217,OFFSET(Input_calc!C217,0,(Input_calc!$B$3-1)*3))</f>
        <v>147.96037821386801</v>
      </c>
      <c r="D99" s="1"/>
      <c r="E99" s="1"/>
      <c r="F99" s="1"/>
    </row>
    <row r="100" spans="1:6">
      <c r="A100" s="11">
        <v>87</v>
      </c>
      <c r="B100" s="12">
        <f ca="1">IF(AND(Input!$H$1=1,$B$3=1),Input_calc!N218,OFFSET(Input_calc!B218,0,(Input_calc!$B$3-1)*3))</f>
        <v>202.27856029213982</v>
      </c>
      <c r="C100" s="12">
        <f ca="1">IF(AND(Input!$H$1=1,$B$3=1),Input_calc!O218,OFFSET(Input_calc!C218,0,(Input_calc!$B$3-1)*3))</f>
        <v>155.35827568829296</v>
      </c>
      <c r="D100" s="1"/>
      <c r="E100" s="1"/>
      <c r="F100" s="1"/>
    </row>
    <row r="101" spans="1:6">
      <c r="A101" s="11">
        <v>88</v>
      </c>
      <c r="B101" s="12">
        <f ca="1">IF(AND(Input!$H$1=1,$B$3=1),Input_calc!N219,OFFSET(Input_calc!B219,0,(Input_calc!$B$3-1)*3))</f>
        <v>212.39243560286295</v>
      </c>
      <c r="C101" s="12">
        <f ca="1">IF(AND(Input!$H$1=1,$B$3=1),Input_calc!O219,OFFSET(Input_calc!C219,0,(Input_calc!$B$3-1)*3))</f>
        <v>163.12614899395146</v>
      </c>
      <c r="D101" s="1"/>
      <c r="E101" s="1"/>
      <c r="F101" s="1"/>
    </row>
    <row r="102" spans="1:6">
      <c r="A102" s="11">
        <v>89</v>
      </c>
      <c r="B102" s="12">
        <f ca="1">IF(AND(Input!$H$1=1,$B$3=1),Input_calc!N220,OFFSET(Input_calc!B220,0,(Input_calc!$B$3-1)*3))</f>
        <v>223.01226819854148</v>
      </c>
      <c r="C102" s="12">
        <f ca="1">IF(AND(Input!$H$1=1,$B$3=1),Input_calc!O220,OFFSET(Input_calc!C220,0,(Input_calc!$B$3-1)*3))</f>
        <v>171.28261835867363</v>
      </c>
      <c r="D102" s="1"/>
      <c r="E102" s="1"/>
      <c r="F102" s="1"/>
    </row>
    <row r="103" spans="1:6">
      <c r="A103" s="11">
        <v>90</v>
      </c>
      <c r="B103" s="12">
        <f ca="1">IF(AND(Input!$H$1=1,$B$3=1),Input_calc!N221,OFFSET(Input_calc!B221,0,(Input_calc!$B$3-1)*3))</f>
        <v>234.16230186574623</v>
      </c>
      <c r="C103" s="12">
        <f ca="1">IF(AND(Input!$H$1=1,$B$3=1),Input_calc!O221,OFFSET(Input_calc!C221,0,(Input_calc!$B$3-1)*3))</f>
        <v>179.84630401028963</v>
      </c>
      <c r="D103" s="1"/>
      <c r="E103" s="1"/>
      <c r="F103" s="1"/>
    </row>
    <row r="104" spans="1:6">
      <c r="A104" s="11">
        <v>91</v>
      </c>
      <c r="B104" s="12">
        <f ca="1">IF(AND(Input!$H$1=1,$B$3=1),Input_calc!N222,OFFSET(Input_calc!B222,0,(Input_calc!$B$3-1)*3))</f>
        <v>258.16470464849522</v>
      </c>
      <c r="C104" s="12">
        <f ca="1">IF(AND(Input!$H$1=1,$B$3=1),Input_calc!O222,OFFSET(Input_calc!C222,0,(Input_calc!$B$3-1)*3))</f>
        <v>198.28113913724633</v>
      </c>
      <c r="D104" s="1"/>
      <c r="E104" s="1"/>
      <c r="F104" s="1"/>
    </row>
    <row r="105" spans="1:6">
      <c r="A105" s="11">
        <v>92</v>
      </c>
      <c r="B105" s="12">
        <f ca="1">IF(AND(Input!$H$1=1,$B$3=1),Input_calc!N223,OFFSET(Input_calc!B223,0,(Input_calc!$B$3-1)*3))</f>
        <v>284.62627065166288</v>
      </c>
      <c r="C105" s="12">
        <f ca="1">IF(AND(Input!$H$1=1,$B$3=1),Input_calc!O223,OFFSET(Input_calc!C223,0,(Input_calc!$B$3-1)*3))</f>
        <v>218.60471302627718</v>
      </c>
      <c r="D105" s="1"/>
      <c r="E105" s="1"/>
      <c r="F105" s="1"/>
    </row>
    <row r="106" spans="1:6">
      <c r="A106" s="11">
        <v>93</v>
      </c>
      <c r="B106" s="12">
        <f ca="1">IF(AND(Input!$H$1=1,$B$3=1),Input_calc!N224,OFFSET(Input_calc!B224,0,(Input_calc!$B$3-1)*3))</f>
        <v>313.80103259540391</v>
      </c>
      <c r="C106" s="12">
        <f ca="1">IF(AND(Input!$H$1=1,$B$3=1),Input_calc!O224,OFFSET(Input_calc!C224,0,(Input_calc!$B$3-1)*3))</f>
        <v>241.01213328203704</v>
      </c>
      <c r="D106" s="1"/>
      <c r="E106" s="1"/>
      <c r="F106" s="1"/>
    </row>
    <row r="107" spans="1:6">
      <c r="A107" s="11">
        <v>94</v>
      </c>
      <c r="B107" s="12">
        <f ca="1">IF(AND(Input!$H$1=1,$B$3=1),Input_calc!N225,OFFSET(Input_calc!B225,0,(Input_calc!$B$3-1)*3))</f>
        <v>345.96515883108975</v>
      </c>
      <c r="C107" s="12">
        <f ca="1">IF(AND(Input!$H$1=1,$B$3=1),Input_calc!O225,OFFSET(Input_calc!C225,0,(Input_calc!$B$3-1)*3))</f>
        <v>265.71550858676483</v>
      </c>
      <c r="D107" s="1"/>
      <c r="E107" s="1"/>
      <c r="F107" s="1"/>
    </row>
    <row r="108" spans="1:6">
      <c r="A108" s="11">
        <v>95</v>
      </c>
      <c r="B108" s="12">
        <f ca="1">IF(AND(Input!$H$1=1,$B$3=1),Input_calc!N226,OFFSET(Input_calc!B226,0,(Input_calc!$B$3-1)*3))</f>
        <v>381.4264400404017</v>
      </c>
      <c r="C108" s="12">
        <f ca="1">IF(AND(Input!$H$1=1,$B$3=1),Input_calc!O226,OFFSET(Input_calc!C226,0,(Input_calc!$B$3-1)*3))</f>
        <v>292.95123487639103</v>
      </c>
      <c r="D108" s="1"/>
      <c r="E108" s="1"/>
      <c r="F108" s="1"/>
    </row>
    <row r="109" spans="1:6">
      <c r="A109" s="11">
        <v>96</v>
      </c>
      <c r="B109" s="12">
        <f ca="1">IF(AND(Input!$H$1=1,$B$3=1),Input_calc!N227,OFFSET(Input_calc!B227,0,(Input_calc!$B$3-1)*3))</f>
        <v>420.52323515765357</v>
      </c>
      <c r="C109" s="12">
        <f ca="1">IF(AND(Input!$H$1=1,$B$3=1),Input_calc!O227,OFFSET(Input_calc!C227,0,(Input_calc!$B$3-1)*3))</f>
        <v>322.97918576541434</v>
      </c>
      <c r="D109" s="1"/>
      <c r="E109" s="1"/>
      <c r="F109" s="1"/>
    </row>
    <row r="110" spans="1:6">
      <c r="A110" s="11">
        <v>97</v>
      </c>
      <c r="B110" s="12">
        <f ca="1">IF(AND(Input!$H$1=1,$B$3=1),Input_calc!N228,OFFSET(Input_calc!B228,0,(Input_calc!$B$3-1)*3))</f>
        <v>463.6265795251461</v>
      </c>
      <c r="C110" s="12">
        <f ca="1">IF(AND(Input!$H$1=1,$B$3=1),Input_calc!O228,OFFSET(Input_calc!C228,0,(Input_calc!$B$3-1)*3))</f>
        <v>356.08433169714829</v>
      </c>
      <c r="D110" s="1"/>
      <c r="E110" s="1"/>
      <c r="F110" s="1"/>
    </row>
    <row r="111" spans="1:6">
      <c r="A111" s="11">
        <v>98</v>
      </c>
      <c r="B111" s="12">
        <f ca="1">IF(AND(Input!$H$1=1,$B$3=1),Input_calc!N229,OFFSET(Input_calc!B229,0,(Input_calc!$B$3-1)*3))</f>
        <v>511.14756343690544</v>
      </c>
      <c r="C111" s="12">
        <f ca="1">IF(AND(Input!$H$1=1,$B$3=1),Input_calc!O229,OFFSET(Input_calc!C229,0,(Input_calc!$B$3-1)*3))</f>
        <v>392.58240696958205</v>
      </c>
      <c r="D111" s="1"/>
      <c r="E111" s="1"/>
      <c r="F111" s="1"/>
    </row>
    <row r="112" spans="1:6">
      <c r="A112" s="11">
        <v>99</v>
      </c>
      <c r="B112" s="12">
        <f ca="1">IF(AND(Input!$H$1=1,$B$3=1),Input_calc!N230,OFFSET(Input_calc!B230,0,(Input_calc!$B$3-1)*3))</f>
        <v>563.54049437171466</v>
      </c>
      <c r="C112" s="12">
        <f ca="1">IF(AND(Input!$H$1=1,$B$3=1),Input_calc!O230,OFFSET(Input_calc!C230,0,(Input_calc!$B$3-1)*3))</f>
        <v>432.82233846074996</v>
      </c>
      <c r="D112" s="1"/>
      <c r="E112" s="1"/>
      <c r="F112" s="1"/>
    </row>
    <row r="113" spans="1:6">
      <c r="A113" s="11">
        <v>100</v>
      </c>
      <c r="B113" s="12">
        <f ca="1">IF(AND(Input!$H$1=1,$B$3=1),Input_calc!N231,OFFSET(Input_calc!B231,0,(Input_calc!$B$3-1)*3))</f>
        <v>621.30395107078994</v>
      </c>
      <c r="C113" s="12">
        <f ca="1">IF(AND(Input!$H$1=1,$B$3=1),Input_calc!O231,OFFSET(Input_calc!C231,0,(Input_calc!$B$3-1)*3))</f>
        <v>477.18705520385413</v>
      </c>
      <c r="D113" s="1"/>
      <c r="E113" s="1"/>
      <c r="F113" s="1"/>
    </row>
    <row r="114" spans="1:6">
      <c r="A114" s="11">
        <v>101</v>
      </c>
      <c r="B114" s="12">
        <f ca="1">IF(AND(Input!$H$1=1,$B$3=1),Input_calc!N232,OFFSET(Input_calc!B232,0,(Input_calc!$B$3-1)*3))</f>
        <v>1000</v>
      </c>
      <c r="C114" s="12">
        <f ca="1">IF(AND(Input!$H$1=1,$B$3=1),Input_calc!O232,OFFSET(Input_calc!C232,0,(Input_calc!$B$3-1)*3))</f>
        <v>1000</v>
      </c>
      <c r="D114" s="1"/>
      <c r="E114" s="1"/>
      <c r="F114" s="1"/>
    </row>
    <row r="115" spans="1:6">
      <c r="A115" s="11">
        <v>102</v>
      </c>
      <c r="B115" s="12">
        <f ca="1">IF(AND(Input!$H$1=1,$B$3=1),Input_calc!N233,OFFSET(Input_calc!B233,0,(Input_calc!$B$3-1)*3))</f>
        <v>1000</v>
      </c>
      <c r="C115" s="12">
        <f ca="1">IF(AND(Input!$H$1=1,$B$3=1),Input_calc!O233,OFFSET(Input_calc!C233,0,(Input_calc!$B$3-1)*3))</f>
        <v>1000</v>
      </c>
      <c r="D115" s="1"/>
      <c r="E115" s="1"/>
      <c r="F115" s="1"/>
    </row>
    <row r="116" spans="1:6">
      <c r="A116" s="11">
        <v>103</v>
      </c>
      <c r="B116" s="12">
        <f ca="1">IF(AND(Input!$H$1=1,$B$3=1),Input_calc!N234,OFFSET(Input_calc!B234,0,(Input_calc!$B$3-1)*3))</f>
        <v>1000</v>
      </c>
      <c r="C116" s="12">
        <f ca="1">IF(AND(Input!$H$1=1,$B$3=1),Input_calc!O234,OFFSET(Input_calc!C234,0,(Input_calc!$B$3-1)*3))</f>
        <v>1000</v>
      </c>
      <c r="D116" s="1"/>
      <c r="E116" s="1"/>
      <c r="F116" s="1"/>
    </row>
    <row r="117" spans="1:6">
      <c r="A117" s="11">
        <v>104</v>
      </c>
      <c r="B117" s="12">
        <f ca="1">IF(AND(Input!$H$1=1,$B$3=1),Input_calc!N235,OFFSET(Input_calc!B235,0,(Input_calc!$B$3-1)*3))</f>
        <v>1000</v>
      </c>
      <c r="C117" s="12">
        <f ca="1">IF(AND(Input!$H$1=1,$B$3=1),Input_calc!O235,OFFSET(Input_calc!C235,0,(Input_calc!$B$3-1)*3))</f>
        <v>1000</v>
      </c>
      <c r="D117" s="1"/>
      <c r="E117" s="1"/>
      <c r="F117" s="1"/>
    </row>
    <row r="118" spans="1:6">
      <c r="A118" s="11">
        <v>105</v>
      </c>
      <c r="B118" s="12">
        <f ca="1">IF(AND(Input!$H$1=1,$B$3=1),Input_calc!N236,OFFSET(Input_calc!B236,0,(Input_calc!$B$3-1)*3))</f>
        <v>1000</v>
      </c>
      <c r="C118" s="12">
        <f ca="1">IF(AND(Input!$H$1=1,$B$3=1),Input_calc!O236,OFFSET(Input_calc!C236,0,(Input_calc!$B$3-1)*3))</f>
        <v>1000</v>
      </c>
      <c r="D118" s="1"/>
      <c r="E118" s="1"/>
      <c r="F118" s="1"/>
    </row>
    <row r="119" spans="1:6">
      <c r="A119" s="11">
        <v>106</v>
      </c>
      <c r="B119" s="12">
        <f ca="1">IF(AND(Input!$H$1=1,$B$3=1),Input_calc!N237,OFFSET(Input_calc!B237,0,(Input_calc!$B$3-1)*3))</f>
        <v>1000</v>
      </c>
      <c r="C119" s="12">
        <f ca="1">IF(AND(Input!$H$1=1,$B$3=1),Input_calc!O237,OFFSET(Input_calc!C237,0,(Input_calc!$B$3-1)*3))</f>
        <v>1000</v>
      </c>
      <c r="D119" s="1"/>
      <c r="E119" s="1"/>
      <c r="F119" s="1"/>
    </row>
    <row r="120" spans="1:6">
      <c r="A120" s="11">
        <v>107</v>
      </c>
      <c r="B120" s="12">
        <f ca="1">IF(AND(Input!$H$1=1,$B$3=1),Input_calc!N238,OFFSET(Input_calc!B238,0,(Input_calc!$B$3-1)*3))</f>
        <v>1000</v>
      </c>
      <c r="C120" s="12">
        <f ca="1">IF(AND(Input!$H$1=1,$B$3=1),Input_calc!O238,OFFSET(Input_calc!C238,0,(Input_calc!$B$3-1)*3))</f>
        <v>1000</v>
      </c>
      <c r="D120" s="1"/>
      <c r="E120" s="1"/>
      <c r="F120" s="1"/>
    </row>
    <row r="121" spans="1:6">
      <c r="A121" s="11">
        <v>108</v>
      </c>
      <c r="B121" s="12">
        <f ca="1">IF(AND(Input!$H$1=1,$B$3=1),Input_calc!N239,OFFSET(Input_calc!B239,0,(Input_calc!$B$3-1)*3))</f>
        <v>1000</v>
      </c>
      <c r="C121" s="12">
        <f ca="1">IF(AND(Input!$H$1=1,$B$3=1),Input_calc!O239,OFFSET(Input_calc!C239,0,(Input_calc!$B$3-1)*3))</f>
        <v>1000</v>
      </c>
      <c r="D121" s="1"/>
      <c r="E121" s="1"/>
      <c r="F121" s="1"/>
    </row>
    <row r="122" spans="1:6">
      <c r="A122" s="11">
        <v>109</v>
      </c>
      <c r="B122" s="12">
        <f ca="1">IF(AND(Input!$H$1=1,$B$3=1),Input_calc!N240,OFFSET(Input_calc!B240,0,(Input_calc!$B$3-1)*3))</f>
        <v>1000</v>
      </c>
      <c r="C122" s="12">
        <f ca="1">IF(AND(Input!$H$1=1,$B$3=1),Input_calc!O240,OFFSET(Input_calc!C240,0,(Input_calc!$B$3-1)*3))</f>
        <v>1000</v>
      </c>
      <c r="D122" s="1"/>
      <c r="E122" s="1"/>
      <c r="F122" s="1"/>
    </row>
    <row r="123" spans="1:6">
      <c r="A123" s="11">
        <v>110</v>
      </c>
      <c r="B123" s="12">
        <f ca="1">IF(AND(Input!$H$1=1,$B$3=1),Input_calc!N241,OFFSET(Input_calc!B241,0,(Input_calc!$B$3-1)*3))</f>
        <v>1000</v>
      </c>
      <c r="C123" s="12">
        <f ca="1">IF(AND(Input!$H$1=1,$B$3=1),Input_calc!O241,OFFSET(Input_calc!C241,0,(Input_calc!$B$3-1)*3))</f>
        <v>1000</v>
      </c>
      <c r="D123" s="1"/>
      <c r="E123" s="1"/>
      <c r="F123" s="1"/>
    </row>
    <row r="129" spans="1:18">
      <c r="A129" t="s">
        <v>427</v>
      </c>
    </row>
    <row r="130" spans="1:18">
      <c r="A130" t="s">
        <v>428</v>
      </c>
      <c r="E130" s="239" t="s">
        <v>433</v>
      </c>
      <c r="F130" s="239" t="s">
        <v>434</v>
      </c>
      <c r="H130" s="239" t="s">
        <v>431</v>
      </c>
      <c r="I130" s="239" t="s">
        <v>432</v>
      </c>
      <c r="K130" s="239" t="s">
        <v>429</v>
      </c>
      <c r="L130" s="239" t="s">
        <v>430</v>
      </c>
      <c r="N130" s="239" t="s">
        <v>435</v>
      </c>
      <c r="O130" s="239" t="s">
        <v>436</v>
      </c>
      <c r="Q130" s="239"/>
      <c r="R130" s="239"/>
    </row>
    <row r="131" spans="1:18">
      <c r="A131" s="11">
        <v>0</v>
      </c>
      <c r="B131" s="12">
        <v>0</v>
      </c>
      <c r="C131" s="12">
        <v>0</v>
      </c>
      <c r="E131" s="240">
        <v>0</v>
      </c>
      <c r="F131" s="240">
        <v>0</v>
      </c>
      <c r="H131" s="240">
        <v>0</v>
      </c>
      <c r="I131" s="240">
        <v>0</v>
      </c>
      <c r="K131" s="240">
        <v>0</v>
      </c>
      <c r="L131" s="240">
        <v>0</v>
      </c>
      <c r="N131" s="240">
        <v>0</v>
      </c>
      <c r="O131" s="240">
        <v>0</v>
      </c>
      <c r="Q131" s="239"/>
      <c r="R131" s="239"/>
    </row>
    <row r="132" spans="1:18">
      <c r="A132" s="11">
        <v>1</v>
      </c>
      <c r="B132" s="12">
        <v>0</v>
      </c>
      <c r="C132" s="12">
        <v>0</v>
      </c>
      <c r="E132" s="240">
        <v>0</v>
      </c>
      <c r="F132" s="240">
        <v>0</v>
      </c>
      <c r="H132" s="240">
        <v>0</v>
      </c>
      <c r="I132" s="240">
        <v>0</v>
      </c>
      <c r="K132" s="240">
        <v>0</v>
      </c>
      <c r="L132" s="240">
        <v>0</v>
      </c>
      <c r="N132" s="240">
        <v>0</v>
      </c>
      <c r="O132" s="240">
        <v>0</v>
      </c>
      <c r="Q132" s="239"/>
      <c r="R132" s="239"/>
    </row>
    <row r="133" spans="1:18">
      <c r="A133" s="11">
        <v>2</v>
      </c>
      <c r="B133" s="12">
        <v>0</v>
      </c>
      <c r="C133" s="12">
        <v>0</v>
      </c>
      <c r="E133" s="240">
        <v>0</v>
      </c>
      <c r="F133" s="240">
        <v>0</v>
      </c>
      <c r="H133" s="240">
        <v>0</v>
      </c>
      <c r="I133" s="240">
        <v>0</v>
      </c>
      <c r="K133" s="240">
        <v>0</v>
      </c>
      <c r="L133" s="240">
        <v>0</v>
      </c>
      <c r="N133" s="240">
        <v>0</v>
      </c>
      <c r="O133" s="240">
        <v>0</v>
      </c>
      <c r="Q133" s="239"/>
      <c r="R133" s="239"/>
    </row>
    <row r="134" spans="1:18">
      <c r="A134" s="11">
        <v>3</v>
      </c>
      <c r="B134" s="12">
        <v>0</v>
      </c>
      <c r="C134" s="12">
        <v>0</v>
      </c>
      <c r="E134" s="240">
        <v>0</v>
      </c>
      <c r="F134" s="240">
        <v>0</v>
      </c>
      <c r="H134" s="240">
        <v>0</v>
      </c>
      <c r="I134" s="240">
        <v>0</v>
      </c>
      <c r="K134" s="240">
        <v>0</v>
      </c>
      <c r="L134" s="240">
        <v>0</v>
      </c>
      <c r="N134" s="240">
        <v>0</v>
      </c>
      <c r="O134" s="240">
        <v>0</v>
      </c>
      <c r="Q134" s="239"/>
      <c r="R134" s="239"/>
    </row>
    <row r="135" spans="1:18">
      <c r="A135" s="11">
        <v>4</v>
      </c>
      <c r="B135" s="12">
        <v>0</v>
      </c>
      <c r="C135" s="12">
        <v>0</v>
      </c>
      <c r="E135" s="240">
        <v>0</v>
      </c>
      <c r="F135" s="240">
        <v>0</v>
      </c>
      <c r="H135" s="240">
        <v>0</v>
      </c>
      <c r="I135" s="240">
        <v>0</v>
      </c>
      <c r="K135" s="240">
        <v>0</v>
      </c>
      <c r="L135" s="240">
        <v>0</v>
      </c>
      <c r="N135" s="240">
        <v>0</v>
      </c>
      <c r="O135" s="240">
        <v>0</v>
      </c>
      <c r="Q135" s="239"/>
      <c r="R135" s="239"/>
    </row>
    <row r="136" spans="1:18">
      <c r="A136" s="11">
        <v>5</v>
      </c>
      <c r="B136" s="12">
        <v>0</v>
      </c>
      <c r="C136" s="12">
        <v>0</v>
      </c>
      <c r="E136" s="240">
        <v>0</v>
      </c>
      <c r="F136" s="240">
        <v>0</v>
      </c>
      <c r="H136" s="240">
        <v>0</v>
      </c>
      <c r="I136" s="240">
        <v>0</v>
      </c>
      <c r="K136" s="240">
        <v>0</v>
      </c>
      <c r="L136" s="240">
        <v>0</v>
      </c>
      <c r="N136" s="240">
        <v>0</v>
      </c>
      <c r="O136" s="240">
        <v>0</v>
      </c>
      <c r="Q136" s="239"/>
      <c r="R136" s="239"/>
    </row>
    <row r="137" spans="1:18">
      <c r="A137" s="11">
        <v>6</v>
      </c>
      <c r="B137" s="12">
        <v>0</v>
      </c>
      <c r="C137" s="12">
        <v>0</v>
      </c>
      <c r="E137" s="240">
        <v>0</v>
      </c>
      <c r="F137" s="240">
        <v>0</v>
      </c>
      <c r="H137" s="240">
        <v>0</v>
      </c>
      <c r="I137" s="240">
        <v>0</v>
      </c>
      <c r="K137" s="240">
        <v>0</v>
      </c>
      <c r="L137" s="240">
        <v>0</v>
      </c>
      <c r="N137" s="240">
        <v>0</v>
      </c>
      <c r="O137" s="240">
        <v>0</v>
      </c>
      <c r="Q137" s="239"/>
      <c r="R137" s="239"/>
    </row>
    <row r="138" spans="1:18">
      <c r="A138" s="11">
        <v>7</v>
      </c>
      <c r="B138" s="12">
        <v>0</v>
      </c>
      <c r="C138" s="12">
        <v>0</v>
      </c>
      <c r="E138" s="240">
        <v>0</v>
      </c>
      <c r="F138" s="240">
        <v>0</v>
      </c>
      <c r="H138" s="240">
        <v>0</v>
      </c>
      <c r="I138" s="240">
        <v>0</v>
      </c>
      <c r="K138" s="240">
        <v>0</v>
      </c>
      <c r="L138" s="240">
        <v>0</v>
      </c>
      <c r="N138" s="240">
        <v>0</v>
      </c>
      <c r="O138" s="240">
        <v>0</v>
      </c>
      <c r="Q138" s="239"/>
      <c r="R138" s="239"/>
    </row>
    <row r="139" spans="1:18">
      <c r="A139" s="11">
        <v>8</v>
      </c>
      <c r="B139" s="12">
        <v>0</v>
      </c>
      <c r="C139" s="12">
        <v>0</v>
      </c>
      <c r="E139" s="240">
        <v>0</v>
      </c>
      <c r="F139" s="240">
        <v>0</v>
      </c>
      <c r="H139" s="240">
        <v>0</v>
      </c>
      <c r="I139" s="240">
        <v>0</v>
      </c>
      <c r="K139" s="240">
        <v>0</v>
      </c>
      <c r="L139" s="240">
        <v>0</v>
      </c>
      <c r="N139" s="240">
        <v>0</v>
      </c>
      <c r="O139" s="240">
        <v>0</v>
      </c>
      <c r="Q139" s="239"/>
      <c r="R139" s="239"/>
    </row>
    <row r="140" spans="1:18">
      <c r="A140" s="11">
        <v>9</v>
      </c>
      <c r="B140" s="12">
        <v>0</v>
      </c>
      <c r="C140" s="12">
        <v>0</v>
      </c>
      <c r="E140" s="240">
        <v>0</v>
      </c>
      <c r="F140" s="240">
        <v>0</v>
      </c>
      <c r="H140" s="240">
        <v>0</v>
      </c>
      <c r="I140" s="240">
        <v>0</v>
      </c>
      <c r="K140" s="240">
        <v>0</v>
      </c>
      <c r="L140" s="240">
        <v>0</v>
      </c>
      <c r="N140" s="240">
        <v>0</v>
      </c>
      <c r="O140" s="240">
        <v>0</v>
      </c>
      <c r="Q140" s="239"/>
      <c r="R140" s="239"/>
    </row>
    <row r="141" spans="1:18">
      <c r="A141" s="11">
        <v>10</v>
      </c>
      <c r="B141" s="12">
        <v>0</v>
      </c>
      <c r="C141" s="12">
        <v>0</v>
      </c>
      <c r="E141" s="240">
        <v>0</v>
      </c>
      <c r="F141" s="240">
        <v>0</v>
      </c>
      <c r="H141" s="240">
        <v>0</v>
      </c>
      <c r="I141" s="240">
        <v>0</v>
      </c>
      <c r="K141" s="240">
        <v>0</v>
      </c>
      <c r="L141" s="240">
        <v>0</v>
      </c>
      <c r="N141" s="240">
        <v>0</v>
      </c>
      <c r="O141" s="240">
        <v>0</v>
      </c>
      <c r="Q141" s="239"/>
      <c r="R141" s="239"/>
    </row>
    <row r="142" spans="1:18">
      <c r="A142" s="11">
        <v>11</v>
      </c>
      <c r="B142" s="12">
        <v>0</v>
      </c>
      <c r="C142" s="12">
        <v>0</v>
      </c>
      <c r="E142" s="240">
        <v>0</v>
      </c>
      <c r="F142" s="240">
        <v>0</v>
      </c>
      <c r="H142" s="240">
        <v>0</v>
      </c>
      <c r="I142" s="240">
        <v>0</v>
      </c>
      <c r="K142" s="240">
        <v>0</v>
      </c>
      <c r="L142" s="240">
        <v>0</v>
      </c>
      <c r="N142" s="240">
        <v>0</v>
      </c>
      <c r="O142" s="240">
        <v>0</v>
      </c>
      <c r="Q142" s="239"/>
      <c r="R142" s="239"/>
    </row>
    <row r="143" spans="1:18">
      <c r="A143" s="11">
        <v>12</v>
      </c>
      <c r="B143" s="12">
        <v>0</v>
      </c>
      <c r="C143" s="12">
        <v>0</v>
      </c>
      <c r="E143" s="240">
        <v>0</v>
      </c>
      <c r="F143" s="240">
        <v>0</v>
      </c>
      <c r="H143" s="240">
        <v>0</v>
      </c>
      <c r="I143" s="240">
        <v>0</v>
      </c>
      <c r="K143" s="240">
        <v>0</v>
      </c>
      <c r="L143" s="240">
        <v>0</v>
      </c>
      <c r="N143" s="240">
        <v>0</v>
      </c>
      <c r="O143" s="240">
        <v>0</v>
      </c>
      <c r="Q143" s="239"/>
      <c r="R143" s="239"/>
    </row>
    <row r="144" spans="1:18">
      <c r="A144" s="11">
        <v>13</v>
      </c>
      <c r="B144" s="12">
        <v>0</v>
      </c>
      <c r="C144" s="12">
        <v>0</v>
      </c>
      <c r="E144" s="240">
        <v>0</v>
      </c>
      <c r="F144" s="240">
        <v>0</v>
      </c>
      <c r="H144" s="240">
        <v>0</v>
      </c>
      <c r="I144" s="240">
        <v>0</v>
      </c>
      <c r="K144" s="240">
        <v>0</v>
      </c>
      <c r="L144" s="240">
        <v>0</v>
      </c>
      <c r="N144" s="240">
        <v>0</v>
      </c>
      <c r="O144" s="240">
        <v>0</v>
      </c>
      <c r="Q144" s="239"/>
      <c r="R144" s="239"/>
    </row>
    <row r="145" spans="1:18">
      <c r="A145" s="11">
        <v>14</v>
      </c>
      <c r="B145" s="12">
        <v>0</v>
      </c>
      <c r="C145" s="12">
        <v>0</v>
      </c>
      <c r="E145" s="240">
        <v>0</v>
      </c>
      <c r="F145" s="240">
        <v>0</v>
      </c>
      <c r="H145" s="240">
        <v>0</v>
      </c>
      <c r="I145" s="240">
        <v>0</v>
      </c>
      <c r="K145" s="240">
        <v>0</v>
      </c>
      <c r="L145" s="240">
        <v>0</v>
      </c>
      <c r="N145" s="240">
        <v>0</v>
      </c>
      <c r="O145" s="240">
        <v>0</v>
      </c>
      <c r="Q145" s="239"/>
      <c r="R145" s="239"/>
    </row>
    <row r="146" spans="1:18">
      <c r="A146" s="11">
        <v>15</v>
      </c>
      <c r="B146" s="12">
        <v>0</v>
      </c>
      <c r="C146" s="12">
        <v>0</v>
      </c>
      <c r="E146" s="240">
        <v>0</v>
      </c>
      <c r="F146" s="240">
        <v>0</v>
      </c>
      <c r="H146" s="240">
        <v>0</v>
      </c>
      <c r="I146" s="240">
        <v>0</v>
      </c>
      <c r="K146" s="240">
        <v>0</v>
      </c>
      <c r="L146" s="240">
        <v>0</v>
      </c>
      <c r="N146" s="240">
        <v>0</v>
      </c>
      <c r="O146" s="240">
        <v>0</v>
      </c>
      <c r="Q146" s="239"/>
      <c r="R146" s="239"/>
    </row>
    <row r="147" spans="1:18">
      <c r="A147" s="11">
        <v>16</v>
      </c>
      <c r="B147" s="12">
        <v>0</v>
      </c>
      <c r="C147" s="12">
        <v>0</v>
      </c>
      <c r="E147" s="240">
        <v>0.30256250590385525</v>
      </c>
      <c r="F147" s="240">
        <v>0.23238048133852801</v>
      </c>
      <c r="H147" s="240">
        <v>0.94796929512144201</v>
      </c>
      <c r="I147" s="240">
        <v>0.78185426445405271</v>
      </c>
      <c r="K147" s="240">
        <v>1.5906308691463815</v>
      </c>
      <c r="L147" s="240">
        <v>2.3859463037195723</v>
      </c>
      <c r="N147" s="240">
        <v>0.19041322721412351</v>
      </c>
      <c r="O147" s="240">
        <v>9.5206613607061757E-2</v>
      </c>
      <c r="Q147" s="239"/>
      <c r="R147" s="239"/>
    </row>
    <row r="148" spans="1:18">
      <c r="A148" s="11">
        <v>17</v>
      </c>
      <c r="B148" s="12">
        <v>0</v>
      </c>
      <c r="C148" s="12">
        <v>0</v>
      </c>
      <c r="E148" s="240">
        <v>0.45406592260445888</v>
      </c>
      <c r="F148" s="240">
        <v>0.34874135292816688</v>
      </c>
      <c r="H148" s="240">
        <v>1.392595189148361</v>
      </c>
      <c r="I148" s="240">
        <v>1.148567250961815</v>
      </c>
      <c r="K148" s="240">
        <v>2.3366842233010887</v>
      </c>
      <c r="L148" s="240">
        <v>3.5050263349516331</v>
      </c>
      <c r="N148" s="240">
        <v>0.28807595530439128</v>
      </c>
      <c r="O148" s="240">
        <v>0.14403797765219564</v>
      </c>
      <c r="Q148" s="239"/>
      <c r="R148" s="239"/>
    </row>
    <row r="149" spans="1:18">
      <c r="A149" s="11">
        <v>18</v>
      </c>
      <c r="B149" s="12">
        <v>0</v>
      </c>
      <c r="C149" s="12">
        <v>0</v>
      </c>
      <c r="E149" s="240">
        <v>0.68143229265874272</v>
      </c>
      <c r="F149" s="240">
        <v>0.52336810106264264</v>
      </c>
      <c r="H149" s="240">
        <v>2.045763898492849</v>
      </c>
      <c r="I149" s="240">
        <v>1.6872795736468185</v>
      </c>
      <c r="K149" s="240">
        <v>3.4326588684616648</v>
      </c>
      <c r="L149" s="240">
        <v>5.148988302692497</v>
      </c>
      <c r="N149" s="240">
        <v>0.43582978577016734</v>
      </c>
      <c r="O149" s="240">
        <v>0.21791489288508367</v>
      </c>
      <c r="Q149" s="239"/>
      <c r="R149" s="239"/>
    </row>
    <row r="150" spans="1:18">
      <c r="A150" s="11">
        <v>19</v>
      </c>
      <c r="B150" s="12">
        <v>0</v>
      </c>
      <c r="C150" s="12">
        <v>0</v>
      </c>
      <c r="E150" s="240">
        <v>1.0226487969295377</v>
      </c>
      <c r="F150" s="240">
        <v>0.78543644712629446</v>
      </c>
      <c r="H150" s="240">
        <v>3.005288228042839</v>
      </c>
      <c r="I150" s="240">
        <v>2.4786640549447787</v>
      </c>
      <c r="K150" s="240">
        <v>5.0426783344230346</v>
      </c>
      <c r="L150" s="240">
        <v>7.5640175016345523</v>
      </c>
      <c r="N150" s="240">
        <v>0.65936638815886095</v>
      </c>
      <c r="O150" s="240">
        <v>0.32968319407943047</v>
      </c>
      <c r="Q150" s="239"/>
      <c r="R150" s="239"/>
    </row>
    <row r="151" spans="1:18">
      <c r="A151" s="11">
        <v>20</v>
      </c>
      <c r="B151" s="12">
        <v>0</v>
      </c>
      <c r="C151" s="12">
        <v>0</v>
      </c>
      <c r="E151" s="240">
        <v>1.5347240997062146</v>
      </c>
      <c r="F151" s="240">
        <v>1.1787313961661134</v>
      </c>
      <c r="H151" s="240">
        <v>4.4148581076568636</v>
      </c>
      <c r="I151" s="240">
        <v>3.6412314789044613</v>
      </c>
      <c r="K151" s="240">
        <v>7.407844985148559</v>
      </c>
      <c r="L151" s="240">
        <v>11.111767477722839</v>
      </c>
      <c r="N151" s="240">
        <v>0.99755466016481109</v>
      </c>
      <c r="O151" s="240">
        <v>0.49877733008240555</v>
      </c>
      <c r="Q151" s="239"/>
      <c r="R151" s="239"/>
    </row>
    <row r="152" spans="1:18">
      <c r="A152" s="11">
        <v>21</v>
      </c>
      <c r="B152" s="12">
        <v>0</v>
      </c>
      <c r="C152" s="12">
        <v>0</v>
      </c>
      <c r="E152" s="240">
        <v>2.3032130573966154</v>
      </c>
      <c r="F152" s="240">
        <v>1.7689626059386376</v>
      </c>
      <c r="H152" s="240">
        <v>6.4855583330976625</v>
      </c>
      <c r="I152" s="240">
        <v>5.3490777245568086</v>
      </c>
      <c r="K152" s="240">
        <v>10.88234538962902</v>
      </c>
      <c r="L152" s="240">
        <v>16.323518084443528</v>
      </c>
      <c r="N152" s="240">
        <v>1.5091993129876964</v>
      </c>
      <c r="O152" s="240">
        <v>0.75459965649384819</v>
      </c>
      <c r="Q152" s="239"/>
      <c r="R152" s="239"/>
    </row>
    <row r="153" spans="1:18">
      <c r="A153" s="11">
        <v>22</v>
      </c>
      <c r="B153" s="12">
        <v>0</v>
      </c>
      <c r="C153" s="12">
        <v>0</v>
      </c>
      <c r="E153" s="240">
        <v>3.4565107753098654</v>
      </c>
      <c r="F153" s="240">
        <v>2.6547428119647938</v>
      </c>
      <c r="H153" s="240">
        <v>9.5274787697167262</v>
      </c>
      <c r="I153" s="240">
        <v>7.8579548345436523</v>
      </c>
      <c r="K153" s="240">
        <v>15.986490189333384</v>
      </c>
      <c r="L153" s="240">
        <v>23.979735284000078</v>
      </c>
      <c r="N153" s="240">
        <v>2.2832659274492562</v>
      </c>
      <c r="O153" s="240">
        <v>1.1416329637246281</v>
      </c>
      <c r="Q153" s="239"/>
      <c r="R153" s="239"/>
    </row>
    <row r="154" spans="1:18">
      <c r="A154" s="11">
        <v>23</v>
      </c>
      <c r="B154" s="12">
        <v>0</v>
      </c>
      <c r="C154" s="12">
        <v>0</v>
      </c>
      <c r="E154" s="240">
        <v>3.5414764711900673</v>
      </c>
      <c r="F154" s="240">
        <v>2.7199999701408251</v>
      </c>
      <c r="H154" s="240">
        <v>9.555452415495866</v>
      </c>
      <c r="I154" s="240">
        <v>7.881026588404568</v>
      </c>
      <c r="K154" s="240">
        <v>16.033428148957032</v>
      </c>
      <c r="L154" s="240">
        <v>24.05014222343555</v>
      </c>
      <c r="N154" s="240">
        <v>2.3583542290144699</v>
      </c>
      <c r="O154" s="240">
        <v>1.1791771145072349</v>
      </c>
      <c r="Q154" s="239"/>
      <c r="R154" s="239"/>
    </row>
    <row r="155" spans="1:18">
      <c r="A155" s="11">
        <v>24</v>
      </c>
      <c r="B155" s="12">
        <v>0</v>
      </c>
      <c r="C155" s="12">
        <v>0</v>
      </c>
      <c r="E155" s="240">
        <v>3.6285307384492373</v>
      </c>
      <c r="F155" s="240">
        <v>2.786861237262559</v>
      </c>
      <c r="H155" s="240">
        <v>9.5835081947414871</v>
      </c>
      <c r="I155" s="240">
        <v>7.9041660832791996</v>
      </c>
      <c r="K155" s="240">
        <v>16.080503923199618</v>
      </c>
      <c r="L155" s="240">
        <v>24.120755884799429</v>
      </c>
      <c r="N155" s="240">
        <v>2.435911911375046</v>
      </c>
      <c r="O155" s="240">
        <v>1.217955955687523</v>
      </c>
      <c r="Q155" s="239"/>
      <c r="R155" s="239"/>
    </row>
    <row r="156" spans="1:18">
      <c r="A156" s="11">
        <v>25</v>
      </c>
      <c r="B156" s="12">
        <v>0</v>
      </c>
      <c r="C156" s="12">
        <v>0</v>
      </c>
      <c r="E156" s="240">
        <v>3.7177249169882596</v>
      </c>
      <c r="F156" s="240">
        <v>2.855366044490983</v>
      </c>
      <c r="H156" s="240">
        <v>9.6116463486057917</v>
      </c>
      <c r="I156" s="240">
        <v>7.927373518062045</v>
      </c>
      <c r="K156" s="240">
        <v>16.12771791669887</v>
      </c>
      <c r="L156" s="240">
        <v>24.191576875048305</v>
      </c>
      <c r="N156" s="240">
        <v>2.5160201834727958</v>
      </c>
      <c r="O156" s="240">
        <v>1.2580100917363979</v>
      </c>
      <c r="Q156" s="239"/>
      <c r="R156" s="239"/>
    </row>
    <row r="157" spans="1:18">
      <c r="A157" s="11">
        <v>26</v>
      </c>
      <c r="B157" s="12">
        <v>0</v>
      </c>
      <c r="C157" s="12">
        <v>0</v>
      </c>
      <c r="E157" s="240">
        <v>3.8091116087120125</v>
      </c>
      <c r="F157" s="240">
        <v>2.9255547922581955</v>
      </c>
      <c r="H157" s="240">
        <v>9.6398671189490308</v>
      </c>
      <c r="I157" s="240">
        <v>7.9506490922315791</v>
      </c>
      <c r="K157" s="240">
        <v>16.175070535280568</v>
      </c>
      <c r="L157" s="240">
        <v>24.262605802920852</v>
      </c>
      <c r="N157" s="240">
        <v>2.5987629249158939</v>
      </c>
      <c r="O157" s="240">
        <v>1.2993814624579469</v>
      </c>
      <c r="Q157" s="239"/>
      <c r="R157" s="239"/>
    </row>
    <row r="158" spans="1:18">
      <c r="A158" s="11">
        <v>27</v>
      </c>
      <c r="B158" s="12">
        <v>0</v>
      </c>
      <c r="C158" s="12">
        <v>0</v>
      </c>
      <c r="E158" s="240">
        <v>3.9027447085511286</v>
      </c>
      <c r="F158" s="240">
        <v>2.9974688740933928</v>
      </c>
      <c r="H158" s="240">
        <v>9.6681707483415789</v>
      </c>
      <c r="I158" s="240">
        <v>7.9739930058519626</v>
      </c>
      <c r="K158" s="240">
        <v>16.222562185962033</v>
      </c>
      <c r="L158" s="240">
        <v>24.33384327894305</v>
      </c>
      <c r="N158" s="240">
        <v>2.6842267738073713</v>
      </c>
      <c r="O158" s="240">
        <v>1.3421133869036856</v>
      </c>
      <c r="Q158" s="239"/>
      <c r="R158" s="239"/>
    </row>
    <row r="159" spans="1:18">
      <c r="A159" s="11">
        <v>28</v>
      </c>
      <c r="B159" s="12">
        <v>0</v>
      </c>
      <c r="C159" s="12">
        <v>0</v>
      </c>
      <c r="E159" s="240">
        <v>4.1693448823721528</v>
      </c>
      <c r="F159" s="240">
        <v>3.2022288014095404</v>
      </c>
      <c r="H159" s="240">
        <v>10.212669706824769</v>
      </c>
      <c r="I159" s="240">
        <v>8.423078049926449</v>
      </c>
      <c r="K159" s="240">
        <v>17.13619605157206</v>
      </c>
      <c r="L159" s="240">
        <v>25.704294077358092</v>
      </c>
      <c r="N159" s="240">
        <v>2.8908328228598594</v>
      </c>
      <c r="O159" s="240">
        <v>1.4454164114299297</v>
      </c>
      <c r="Q159" s="239"/>
      <c r="R159" s="239"/>
    </row>
    <row r="160" spans="1:18">
      <c r="A160" s="11">
        <v>29</v>
      </c>
      <c r="B160" s="12">
        <v>0</v>
      </c>
      <c r="C160" s="12">
        <v>0</v>
      </c>
      <c r="E160" s="240">
        <v>4.4541567656410619</v>
      </c>
      <c r="F160" s="240">
        <v>3.4209760725799909</v>
      </c>
      <c r="H160" s="240">
        <v>10.787834147280352</v>
      </c>
      <c r="I160" s="240">
        <v>8.8974549868660748</v>
      </c>
      <c r="K160" s="240">
        <v>18.101284602996877</v>
      </c>
      <c r="L160" s="240">
        <v>27.151926904495316</v>
      </c>
      <c r="N160" s="240">
        <v>3.1133414252739371</v>
      </c>
      <c r="O160" s="240">
        <v>1.5566707126369685</v>
      </c>
      <c r="Q160" s="239"/>
      <c r="R160" s="239"/>
    </row>
    <row r="161" spans="1:18">
      <c r="A161" s="11">
        <v>30</v>
      </c>
      <c r="B161" s="12">
        <v>0</v>
      </c>
      <c r="C161" s="12">
        <v>0</v>
      </c>
      <c r="E161" s="240">
        <v>4.758424417415509</v>
      </c>
      <c r="F161" s="240">
        <v>3.6546661762624271</v>
      </c>
      <c r="H161" s="240">
        <v>11.395391110265427</v>
      </c>
      <c r="I161" s="240">
        <v>9.3985482235914066</v>
      </c>
      <c r="K161" s="240">
        <v>19.120725702051761</v>
      </c>
      <c r="L161" s="240">
        <v>28.681088553077643</v>
      </c>
      <c r="N161" s="240">
        <v>3.352976607183292</v>
      </c>
      <c r="O161" s="240">
        <v>1.676488303591646</v>
      </c>
      <c r="Q161" s="239"/>
      <c r="R161" s="239"/>
    </row>
    <row r="162" spans="1:18">
      <c r="A162" s="11">
        <v>31</v>
      </c>
      <c r="B162" s="12">
        <v>0</v>
      </c>
      <c r="C162" s="12">
        <v>0</v>
      </c>
      <c r="E162" s="240">
        <v>5.0834768796013181</v>
      </c>
      <c r="F162" s="240">
        <v>3.9043198714463734</v>
      </c>
      <c r="H162" s="240">
        <v>12.037164901043012</v>
      </c>
      <c r="I162" s="240">
        <v>9.9278623877912242</v>
      </c>
      <c r="K162" s="240">
        <v>20.197580414407337</v>
      </c>
      <c r="L162" s="240">
        <v>30.296370621611004</v>
      </c>
      <c r="N162" s="240">
        <v>3.6110566085212379</v>
      </c>
      <c r="O162" s="240">
        <v>1.8055283042606189</v>
      </c>
      <c r="Q162" s="239"/>
      <c r="R162" s="239"/>
    </row>
    <row r="163" spans="1:18">
      <c r="A163" s="11">
        <v>32</v>
      </c>
      <c r="B163" s="12">
        <v>0</v>
      </c>
      <c r="C163" s="12">
        <v>0</v>
      </c>
      <c r="E163" s="240">
        <v>5.4307339822110325</v>
      </c>
      <c r="F163" s="240">
        <v>4.1710276461311544</v>
      </c>
      <c r="H163" s="240">
        <v>12.715082567405352</v>
      </c>
      <c r="I163" s="240">
        <v>10.486986845853165</v>
      </c>
      <c r="K163" s="240">
        <v>21.335082201021084</v>
      </c>
      <c r="L163" s="240">
        <v>32.002623301531628</v>
      </c>
      <c r="N163" s="240">
        <v>3.8890011346959805</v>
      </c>
      <c r="O163" s="240">
        <v>1.9445005673479903</v>
      </c>
      <c r="Q163" s="239"/>
      <c r="R163" s="239"/>
    </row>
    <row r="164" spans="1:18">
      <c r="A164" s="11">
        <v>33</v>
      </c>
      <c r="B164" s="12">
        <v>0</v>
      </c>
      <c r="C164" s="12">
        <v>0</v>
      </c>
      <c r="E164" s="240">
        <v>5.8050069452498194</v>
      </c>
      <c r="F164" s="240">
        <v>4.4584847156815623</v>
      </c>
      <c r="H164" s="240">
        <v>13.545499032588822</v>
      </c>
      <c r="I164" s="240">
        <v>11.1718873567852</v>
      </c>
      <c r="K164" s="240">
        <v>22.728467061233285</v>
      </c>
      <c r="L164" s="240">
        <v>34.092700591849926</v>
      </c>
      <c r="N164" s="240">
        <v>4.1907174408989967</v>
      </c>
      <c r="O164" s="240">
        <v>2.0953587204494983</v>
      </c>
      <c r="Q164" s="239"/>
      <c r="R164" s="239"/>
    </row>
    <row r="165" spans="1:18">
      <c r="A165" s="11">
        <v>34</v>
      </c>
      <c r="B165" s="12">
        <v>0</v>
      </c>
      <c r="C165" s="12">
        <v>0</v>
      </c>
      <c r="E165" s="240">
        <v>6.205073889603228</v>
      </c>
      <c r="F165" s="240">
        <v>4.7657526265509329</v>
      </c>
      <c r="H165" s="240">
        <v>14.430149632862815</v>
      </c>
      <c r="I165" s="240">
        <v>11.901518419664141</v>
      </c>
      <c r="K165" s="240">
        <v>24.212853275477094</v>
      </c>
      <c r="L165" s="240">
        <v>36.319279913215638</v>
      </c>
      <c r="N165" s="240">
        <v>4.5158414876183723</v>
      </c>
      <c r="O165" s="240">
        <v>2.2579207438091862</v>
      </c>
      <c r="Q165" s="239"/>
      <c r="R165" s="239"/>
    </row>
    <row r="166" spans="1:18">
      <c r="A166" s="11">
        <v>35</v>
      </c>
      <c r="B166" s="12">
        <v>0</v>
      </c>
      <c r="C166" s="12">
        <v>0</v>
      </c>
      <c r="E166" s="240">
        <v>6.6327124736590219</v>
      </c>
      <c r="F166" s="240">
        <v>5.0941966936865688</v>
      </c>
      <c r="H166" s="240">
        <v>15.372576375801046</v>
      </c>
      <c r="I166" s="240">
        <v>12.67880136721721</v>
      </c>
      <c r="K166" s="240">
        <v>25.794184102267842</v>
      </c>
      <c r="L166" s="240">
        <v>38.691276153401759</v>
      </c>
      <c r="N166" s="240">
        <v>4.8661892930964648</v>
      </c>
      <c r="O166" s="240">
        <v>2.4330946465482324</v>
      </c>
      <c r="Q166" s="239"/>
      <c r="R166" s="239"/>
    </row>
    <row r="167" spans="1:18">
      <c r="A167" s="11">
        <v>36</v>
      </c>
      <c r="B167" s="12">
        <v>0</v>
      </c>
      <c r="C167" s="12">
        <v>0</v>
      </c>
      <c r="E167" s="240">
        <v>7.0898228676927211</v>
      </c>
      <c r="F167" s="240">
        <v>5.4452763262176056</v>
      </c>
      <c r="H167" s="240">
        <v>16.376552595938215</v>
      </c>
      <c r="I167" s="240">
        <v>13.506848323130637</v>
      </c>
      <c r="K167" s="240">
        <v>27.478790951727561</v>
      </c>
      <c r="L167" s="240">
        <v>41.218186427591341</v>
      </c>
      <c r="N167" s="240">
        <v>5.2437177658189356</v>
      </c>
      <c r="O167" s="240">
        <v>2.6218588829094678</v>
      </c>
      <c r="Q167" s="239"/>
      <c r="R167" s="239"/>
    </row>
    <row r="168" spans="1:18">
      <c r="A168" s="11">
        <v>37</v>
      </c>
      <c r="B168" s="12">
        <v>0</v>
      </c>
      <c r="C168" s="12">
        <v>0</v>
      </c>
      <c r="E168" s="240">
        <v>7.5784361970886041</v>
      </c>
      <c r="F168" s="240">
        <v>5.8205515121969178</v>
      </c>
      <c r="H168" s="240">
        <v>17.44609806263237</v>
      </c>
      <c r="I168" s="240">
        <v>14.388974662523514</v>
      </c>
      <c r="K168" s="240">
        <v>29.273418735596188</v>
      </c>
      <c r="L168" s="240">
        <v>43.910128103394285</v>
      </c>
      <c r="N168" s="240">
        <v>5.6505356350550926</v>
      </c>
      <c r="O168" s="240">
        <v>2.8252678175275463</v>
      </c>
      <c r="Q168" s="239"/>
      <c r="R168" s="239"/>
    </row>
    <row r="169" spans="1:18">
      <c r="A169" s="11">
        <v>38</v>
      </c>
      <c r="B169" s="12">
        <v>0</v>
      </c>
      <c r="C169" s="12">
        <v>0</v>
      </c>
      <c r="E169" s="240">
        <v>8.2532090202528607</v>
      </c>
      <c r="F169" s="240">
        <v>6.3388048660704968</v>
      </c>
      <c r="H169" s="240">
        <v>18.796054778222928</v>
      </c>
      <c r="I169" s="240">
        <v>15.502375086297421</v>
      </c>
      <c r="K169" s="240">
        <v>31.538558371321123</v>
      </c>
      <c r="L169" s="240">
        <v>47.307837556981681</v>
      </c>
      <c r="N169" s="240">
        <v>6.1225782796086783</v>
      </c>
      <c r="O169" s="240">
        <v>3.0612891398043391</v>
      </c>
      <c r="Q169" s="239"/>
      <c r="R169" s="239"/>
    </row>
    <row r="170" spans="1:18">
      <c r="A170" s="11">
        <v>39</v>
      </c>
      <c r="B170" s="12">
        <v>0</v>
      </c>
      <c r="C170" s="12">
        <v>0</v>
      </c>
      <c r="E170" s="240">
        <v>8.9880626240742103</v>
      </c>
      <c r="F170" s="240">
        <v>6.903202737046688</v>
      </c>
      <c r="H170" s="240">
        <v>20.250469414858387</v>
      </c>
      <c r="I170" s="240">
        <v>16.701929008338904</v>
      </c>
      <c r="K170" s="240">
        <v>33.978971609889477</v>
      </c>
      <c r="L170" s="240">
        <v>50.968457414834219</v>
      </c>
      <c r="N170" s="240">
        <v>6.634055107515568</v>
      </c>
      <c r="O170" s="240">
        <v>3.317027553757784</v>
      </c>
      <c r="Q170" s="239"/>
      <c r="R170" s="239"/>
    </row>
    <row r="171" spans="1:18">
      <c r="A171" s="11">
        <v>40</v>
      </c>
      <c r="B171" s="12">
        <v>0</v>
      </c>
      <c r="C171" s="12">
        <v>0</v>
      </c>
      <c r="E171" s="240">
        <v>9.7883465129791052</v>
      </c>
      <c r="F171" s="240">
        <v>7.5178537651231272</v>
      </c>
      <c r="H171" s="240">
        <v>21.817424792634391</v>
      </c>
      <c r="I171" s="240">
        <v>17.994302875961306</v>
      </c>
      <c r="K171" s="240">
        <v>36.608220898123164</v>
      </c>
      <c r="L171" s="240">
        <v>54.912331347184747</v>
      </c>
      <c r="N171" s="240">
        <v>7.1882604288019518</v>
      </c>
      <c r="O171" s="240">
        <v>3.5941302144009759</v>
      </c>
      <c r="Q171" s="239"/>
      <c r="R171" s="239"/>
    </row>
    <row r="172" spans="1:18">
      <c r="A172" s="11">
        <v>41</v>
      </c>
      <c r="B172" s="12">
        <v>0</v>
      </c>
      <c r="C172" s="12">
        <v>0</v>
      </c>
      <c r="E172" s="240">
        <v>10.659886503407515</v>
      </c>
      <c r="F172" s="240">
        <v>8.187232417565566</v>
      </c>
      <c r="H172" s="240">
        <v>23.505629169909614</v>
      </c>
      <c r="I172" s="240">
        <v>19.386678977629806</v>
      </c>
      <c r="K172" s="240">
        <v>39.440918127602529</v>
      </c>
      <c r="L172" s="240">
        <v>59.161377191403794</v>
      </c>
      <c r="N172" s="240">
        <v>7.7887637583448823</v>
      </c>
      <c r="O172" s="240">
        <v>3.8943818791724412</v>
      </c>
      <c r="Q172" s="239"/>
      <c r="R172" s="239"/>
    </row>
    <row r="173" spans="1:18">
      <c r="A173" s="11">
        <v>42</v>
      </c>
      <c r="B173" s="12">
        <v>0</v>
      </c>
      <c r="C173" s="12">
        <v>0</v>
      </c>
      <c r="E173" s="240">
        <v>11.609027133934712</v>
      </c>
      <c r="F173" s="240">
        <v>8.9162115616302682</v>
      </c>
      <c r="H173" s="240">
        <v>25.324464638917242</v>
      </c>
      <c r="I173" s="240">
        <v>20.886795358088865</v>
      </c>
      <c r="K173" s="240">
        <v>42.492805839357203</v>
      </c>
      <c r="L173" s="240">
        <v>63.739208759035805</v>
      </c>
      <c r="N173" s="240">
        <v>8.4394328063344162</v>
      </c>
      <c r="O173" s="240">
        <v>4.2197164031672081</v>
      </c>
      <c r="Q173" s="239"/>
      <c r="R173" s="239"/>
    </row>
    <row r="174" spans="1:18">
      <c r="A174" s="11">
        <v>43</v>
      </c>
      <c r="B174" s="12">
        <v>0</v>
      </c>
      <c r="C174" s="12">
        <v>0</v>
      </c>
      <c r="E174" s="240">
        <v>12.48372187973272</v>
      </c>
      <c r="F174" s="240">
        <v>9.5880131962895643</v>
      </c>
      <c r="H174" s="240">
        <v>26.807276459694666</v>
      </c>
      <c r="I174" s="240">
        <v>22.109770354667404</v>
      </c>
      <c r="K174" s="240">
        <v>44.98086770739647</v>
      </c>
      <c r="L174" s="240">
        <v>67.471301561094705</v>
      </c>
      <c r="N174" s="240">
        <v>8.9407980394182829</v>
      </c>
      <c r="O174" s="240">
        <v>4.4703990197091414</v>
      </c>
      <c r="Q174" s="239"/>
      <c r="R174" s="239"/>
    </row>
    <row r="175" spans="1:18">
      <c r="A175" s="11">
        <v>44</v>
      </c>
      <c r="B175" s="12">
        <v>0</v>
      </c>
      <c r="C175" s="12">
        <v>0</v>
      </c>
      <c r="E175" s="240">
        <v>13.424321450241678</v>
      </c>
      <c r="F175" s="240">
        <v>10.310432454051599</v>
      </c>
      <c r="H175" s="240">
        <v>28.376910684309145</v>
      </c>
      <c r="I175" s="240">
        <v>23.404353648096382</v>
      </c>
      <c r="K175" s="240">
        <v>47.614611926528156</v>
      </c>
      <c r="L175" s="240">
        <v>71.42191788979224</v>
      </c>
      <c r="N175" s="240">
        <v>9.4719481055251187</v>
      </c>
      <c r="O175" s="240">
        <v>4.7359740527625593</v>
      </c>
      <c r="Q175" s="239"/>
      <c r="R175" s="239"/>
    </row>
    <row r="176" spans="1:18">
      <c r="A176" s="11">
        <v>45</v>
      </c>
      <c r="B176" s="12">
        <v>5.0632400000000004</v>
      </c>
      <c r="C176" s="12">
        <v>1.0502100000000001</v>
      </c>
      <c r="E176" s="240">
        <v>14.435791515989559</v>
      </c>
      <c r="F176" s="240">
        <v>11.087283174651775</v>
      </c>
      <c r="H176" s="240">
        <v>30.038450985349755</v>
      </c>
      <c r="I176" s="240">
        <v>24.774738086301682</v>
      </c>
      <c r="K176" s="240">
        <v>50.40256856897129</v>
      </c>
      <c r="L176" s="240">
        <v>75.603852853456942</v>
      </c>
      <c r="N176" s="240">
        <v>10.034652445812121</v>
      </c>
      <c r="O176" s="240">
        <v>5.0173262229060605</v>
      </c>
      <c r="Q176" s="239"/>
      <c r="R176" s="239"/>
    </row>
    <row r="177" spans="1:18">
      <c r="A177" s="11">
        <v>46</v>
      </c>
      <c r="B177" s="12">
        <v>5.4132199999999999</v>
      </c>
      <c r="C177" s="12">
        <v>1.1531400000000001</v>
      </c>
      <c r="E177" s="240">
        <v>15.523471891338273</v>
      </c>
      <c r="F177" s="240">
        <v>11.922666555718571</v>
      </c>
      <c r="H177" s="240">
        <v>31.797278697366661</v>
      </c>
      <c r="I177" s="240">
        <v>26.225362019120322</v>
      </c>
      <c r="K177" s="240">
        <v>53.35376716437073</v>
      </c>
      <c r="L177" s="240">
        <v>80.030650746556091</v>
      </c>
      <c r="N177" s="240">
        <v>10.630785619434171</v>
      </c>
      <c r="O177" s="240">
        <v>5.3153928097170855</v>
      </c>
      <c r="Q177" s="239"/>
      <c r="R177" s="239"/>
    </row>
    <row r="178" spans="1:18">
      <c r="A178" s="11">
        <v>47</v>
      </c>
      <c r="B178" s="12">
        <v>5.7873200000000002</v>
      </c>
      <c r="C178" s="12">
        <v>1.2661499999999999</v>
      </c>
      <c r="E178" s="240">
        <v>16.693104724756804</v>
      </c>
      <c r="F178" s="240">
        <v>12.820992804065794</v>
      </c>
      <c r="H178" s="240">
        <v>33.659090245736095</v>
      </c>
      <c r="I178" s="240">
        <v>27.760923673061829</v>
      </c>
      <c r="K178" s="240">
        <v>56.47776594429984</v>
      </c>
      <c r="L178" s="240">
        <v>84.716648916449756</v>
      </c>
      <c r="N178" s="240">
        <v>11.262333548336665</v>
      </c>
      <c r="O178" s="240">
        <v>5.6311667741683324</v>
      </c>
      <c r="Q178" s="239"/>
      <c r="R178" s="239"/>
    </row>
    <row r="179" spans="1:18">
      <c r="A179" s="11">
        <v>48</v>
      </c>
      <c r="B179" s="12">
        <v>6.1872000000000007</v>
      </c>
      <c r="C179" s="12">
        <v>1.3902400000000001</v>
      </c>
      <c r="E179" s="240">
        <v>18.33084620998558</v>
      </c>
      <c r="F179" s="240">
        <v>14.078845800452843</v>
      </c>
      <c r="H179" s="240">
        <v>36.290790145741056</v>
      </c>
      <c r="I179" s="240">
        <v>29.931464217118783</v>
      </c>
      <c r="K179" s="240">
        <v>60.893587343600636</v>
      </c>
      <c r="L179" s="240">
        <v>91.340381015400951</v>
      </c>
      <c r="N179" s="240">
        <v>12.157090759394453</v>
      </c>
      <c r="O179" s="240">
        <v>6.0785453796972266</v>
      </c>
      <c r="Q179" s="239"/>
      <c r="R179" s="239"/>
    </row>
    <row r="180" spans="1:18">
      <c r="A180" s="11">
        <v>49</v>
      </c>
      <c r="B180" s="12">
        <v>6.6146099999999999</v>
      </c>
      <c r="C180" s="12">
        <v>1.52647</v>
      </c>
      <c r="E180" s="240">
        <v>20.129264646366622</v>
      </c>
      <c r="F180" s="240">
        <v>15.460105321178489</v>
      </c>
      <c r="H180" s="240">
        <v>39.128254500849302</v>
      </c>
      <c r="I180" s="240">
        <v>32.271712596148348</v>
      </c>
      <c r="K180" s="240">
        <v>65.654668126032021</v>
      </c>
      <c r="L180" s="240">
        <v>98.482002189048032</v>
      </c>
      <c r="N180" s="240">
        <v>13.122933635186273</v>
      </c>
      <c r="O180" s="240">
        <v>6.5614668175931365</v>
      </c>
      <c r="Q180" s="239"/>
      <c r="R180" s="239"/>
    </row>
    <row r="181" spans="1:18">
      <c r="A181" s="11">
        <v>50</v>
      </c>
      <c r="B181" s="12">
        <v>7.0713299999999997</v>
      </c>
      <c r="C181" s="12">
        <v>1.6760499999999998</v>
      </c>
      <c r="E181" s="240">
        <v>22.104123866509919</v>
      </c>
      <c r="F181" s="240">
        <v>16.976878639742157</v>
      </c>
      <c r="H181" s="240">
        <v>42.187571395794151</v>
      </c>
      <c r="I181" s="240">
        <v>34.794937739556111</v>
      </c>
      <c r="K181" s="240">
        <v>70.788003052219636</v>
      </c>
      <c r="L181" s="240">
        <v>106.18200457832945</v>
      </c>
      <c r="N181" s="240">
        <v>14.165509709666846</v>
      </c>
      <c r="O181" s="240">
        <v>7.0827548548334232</v>
      </c>
      <c r="Q181" s="239"/>
      <c r="R181" s="239"/>
    </row>
    <row r="182" spans="1:18">
      <c r="A182" s="11">
        <v>51</v>
      </c>
      <c r="B182" s="12">
        <v>7.5595699999999999</v>
      </c>
      <c r="C182" s="12">
        <v>1.84026</v>
      </c>
      <c r="E182" s="240">
        <v>24.272734274682282</v>
      </c>
      <c r="F182" s="240">
        <v>18.642460860451855</v>
      </c>
      <c r="H182" s="240">
        <v>45.486086792770109</v>
      </c>
      <c r="I182" s="240">
        <v>37.515446033195119</v>
      </c>
      <c r="K182" s="240">
        <v>76.322697519420146</v>
      </c>
      <c r="L182" s="240">
        <v>114.48404627913021</v>
      </c>
      <c r="N182" s="240">
        <v>15.290915195717776</v>
      </c>
      <c r="O182" s="240">
        <v>7.6454575978588881</v>
      </c>
      <c r="Q182" s="239"/>
      <c r="R182" s="239"/>
    </row>
    <row r="183" spans="1:18">
      <c r="A183" s="11">
        <v>52</v>
      </c>
      <c r="B183" s="12">
        <v>8.0813900000000007</v>
      </c>
      <c r="C183" s="12">
        <v>2.0205500000000001</v>
      </c>
      <c r="E183" s="240">
        <v>26.654104579190506</v>
      </c>
      <c r="F183" s="240">
        <v>20.47145145515147</v>
      </c>
      <c r="H183" s="240">
        <v>49.042502880971284</v>
      </c>
      <c r="I183" s="240">
        <v>40.448662434868631</v>
      </c>
      <c r="K183" s="240">
        <v>82.290132585654902</v>
      </c>
      <c r="L183" s="240">
        <v>123.43519887848235</v>
      </c>
      <c r="N183" s="240">
        <v>16.50573063128639</v>
      </c>
      <c r="O183" s="240">
        <v>8.252865315643195</v>
      </c>
      <c r="Q183" s="239"/>
      <c r="R183" s="239"/>
    </row>
    <row r="184" spans="1:18">
      <c r="A184" s="11">
        <v>53</v>
      </c>
      <c r="B184" s="12">
        <v>8.5614999999999988</v>
      </c>
      <c r="C184" s="12">
        <v>2.21848</v>
      </c>
      <c r="E184" s="240">
        <v>28.791334011358312</v>
      </c>
      <c r="F184" s="240">
        <v>22.112931792228807</v>
      </c>
      <c r="H184" s="240">
        <v>52.005460075515856</v>
      </c>
      <c r="I184" s="240">
        <v>42.892413229194425</v>
      </c>
      <c r="K184" s="240">
        <v>87.261782196941297</v>
      </c>
      <c r="L184" s="240">
        <v>130.89267329541195</v>
      </c>
      <c r="N184" s="240">
        <v>17.622083681788595</v>
      </c>
      <c r="O184" s="240">
        <v>8.8110418408942976</v>
      </c>
      <c r="Q184" s="239"/>
      <c r="R184" s="239"/>
    </row>
    <row r="185" spans="1:18">
      <c r="A185" s="11">
        <v>54</v>
      </c>
      <c r="B185" s="12">
        <v>9.1160800000000002</v>
      </c>
      <c r="C185" s="12">
        <v>2.4357799999999998</v>
      </c>
      <c r="E185" s="240">
        <v>31.099934784557419</v>
      </c>
      <c r="F185" s="240">
        <v>23.886032386077606</v>
      </c>
      <c r="H185" s="240">
        <v>55.147427614577531</v>
      </c>
      <c r="I185" s="240">
        <v>45.483805937622677</v>
      </c>
      <c r="K185" s="240">
        <v>92.533799532531418</v>
      </c>
      <c r="L185" s="240">
        <v>138.80069929879713</v>
      </c>
      <c r="N185" s="240">
        <v>18.813940456494525</v>
      </c>
      <c r="O185" s="240">
        <v>9.4069702282472623</v>
      </c>
      <c r="Q185" s="239"/>
      <c r="R185" s="239"/>
    </row>
    <row r="186" spans="1:18">
      <c r="A186" s="11">
        <v>55</v>
      </c>
      <c r="B186" s="12">
        <v>9.7412700000000001</v>
      </c>
      <c r="C186" s="12">
        <v>2.6743399999999999</v>
      </c>
      <c r="E186" s="240">
        <v>33.593648117247966</v>
      </c>
      <c r="F186" s="240">
        <v>25.801307059123438</v>
      </c>
      <c r="H186" s="240">
        <v>58.479220606623997</v>
      </c>
      <c r="I186" s="240">
        <v>48.231760510113276</v>
      </c>
      <c r="K186" s="240">
        <v>98.124331641565348</v>
      </c>
      <c r="L186" s="240">
        <v>147.18649746234803</v>
      </c>
      <c r="N186" s="240">
        <v>20.086407594711577</v>
      </c>
      <c r="O186" s="240">
        <v>10.043203797355789</v>
      </c>
      <c r="Q186" s="239"/>
      <c r="R186" s="239"/>
    </row>
    <row r="187" spans="1:18">
      <c r="A187" s="11">
        <v>56</v>
      </c>
      <c r="B187" s="12">
        <v>10.43421</v>
      </c>
      <c r="C187" s="12">
        <v>2.9362199999999996</v>
      </c>
      <c r="E187" s="240">
        <v>36.287317052055286</v>
      </c>
      <c r="F187" s="240">
        <v>27.870155880186793</v>
      </c>
      <c r="H187" s="240">
        <v>62.012307566893838</v>
      </c>
      <c r="I187" s="240">
        <v>51.14573580529423</v>
      </c>
      <c r="K187" s="240">
        <v>104.05262194728019</v>
      </c>
      <c r="L187" s="240">
        <v>156.07893292092029</v>
      </c>
      <c r="N187" s="240">
        <v>21.444937119571474</v>
      </c>
      <c r="O187" s="240">
        <v>10.722468559785737</v>
      </c>
      <c r="Q187" s="239"/>
      <c r="R187" s="239"/>
    </row>
    <row r="188" spans="1:18">
      <c r="A188" s="11">
        <v>57</v>
      </c>
      <c r="B188" s="12">
        <v>11.192310000000001</v>
      </c>
      <c r="C188" s="12">
        <v>3.2237100000000001</v>
      </c>
      <c r="E188" s="240">
        <v>39.196974804302791</v>
      </c>
      <c r="F188" s="240">
        <v>30.104893019799569</v>
      </c>
      <c r="H188" s="240">
        <v>65.758849893691149</v>
      </c>
      <c r="I188" s="240">
        <v>54.235762149226417</v>
      </c>
      <c r="K188" s="240">
        <v>110.33907648566677</v>
      </c>
      <c r="L188" s="240">
        <v>165.50861472850016</v>
      </c>
      <c r="N188" s="240">
        <v>22.89534979781325</v>
      </c>
      <c r="O188" s="240">
        <v>11.447674898906625</v>
      </c>
      <c r="Q188" s="239"/>
      <c r="R188" s="239"/>
    </row>
    <row r="189" spans="1:18">
      <c r="A189" s="11">
        <v>58</v>
      </c>
      <c r="B189" s="12">
        <v>12.12124</v>
      </c>
      <c r="C189" s="12">
        <v>3.5392900000000003</v>
      </c>
      <c r="E189" s="240">
        <v>41.380250521486872</v>
      </c>
      <c r="F189" s="240">
        <v>31.781738802585281</v>
      </c>
      <c r="H189" s="240">
        <v>68.304426712701144</v>
      </c>
      <c r="I189" s="240">
        <v>56.335271175184246</v>
      </c>
      <c r="K189" s="240">
        <v>114.6103889521555</v>
      </c>
      <c r="L189" s="240">
        <v>171.91558342823325</v>
      </c>
      <c r="N189" s="240">
        <v>24.205242008134306</v>
      </c>
      <c r="O189" s="240">
        <v>12.102621004067153</v>
      </c>
      <c r="Q189" s="239"/>
      <c r="R189" s="239"/>
    </row>
    <row r="190" spans="1:18">
      <c r="A190" s="11">
        <v>59</v>
      </c>
      <c r="B190" s="12">
        <v>13.05795</v>
      </c>
      <c r="C190" s="12">
        <v>3.88571</v>
      </c>
      <c r="E190" s="240">
        <v>43.685134931205113</v>
      </c>
      <c r="F190" s="240">
        <v>33.551985076028672</v>
      </c>
      <c r="H190" s="240">
        <v>70.948544813256618</v>
      </c>
      <c r="I190" s="240">
        <v>58.516053847448553</v>
      </c>
      <c r="K190" s="240">
        <v>119.04704728492717</v>
      </c>
      <c r="L190" s="240">
        <v>178.57057092739075</v>
      </c>
      <c r="N190" s="240">
        <v>25.590075969414052</v>
      </c>
      <c r="O190" s="240">
        <v>12.795037984707026</v>
      </c>
      <c r="Q190" s="239"/>
      <c r="R190" s="239"/>
    </row>
    <row r="191" spans="1:18">
      <c r="A191" s="11">
        <v>60</v>
      </c>
      <c r="B191" s="12">
        <v>14.00278</v>
      </c>
      <c r="C191" s="12">
        <v>4.2659599999999998</v>
      </c>
      <c r="E191" s="240">
        <v>46.118401650726035</v>
      </c>
      <c r="F191" s="240">
        <v>35.42083425751639</v>
      </c>
      <c r="H191" s="240">
        <v>73.695018805899323</v>
      </c>
      <c r="I191" s="240">
        <v>60.781256332814657</v>
      </c>
      <c r="K191" s="240">
        <v>123.65545215256114</v>
      </c>
      <c r="L191" s="240">
        <v>185.48317822884172</v>
      </c>
      <c r="N191" s="240">
        <v>27.054139260426144</v>
      </c>
      <c r="O191" s="240">
        <v>13.527069630213072</v>
      </c>
      <c r="Q191" s="239"/>
      <c r="R191" s="239"/>
    </row>
    <row r="192" spans="1:18">
      <c r="A192" s="11">
        <v>61</v>
      </c>
      <c r="B192" s="12">
        <v>15.01191</v>
      </c>
      <c r="C192" s="12">
        <v>4.6833400000000003</v>
      </c>
      <c r="E192" s="240">
        <v>48.687201588529383</v>
      </c>
      <c r="F192" s="240">
        <v>37.393778539643705</v>
      </c>
      <c r="H192" s="240">
        <v>76.547810967746443</v>
      </c>
      <c r="I192" s="240">
        <v>63.134146588669971</v>
      </c>
      <c r="K192" s="240">
        <v>128.44225199855356</v>
      </c>
      <c r="L192" s="240">
        <v>192.66337799783034</v>
      </c>
      <c r="N192" s="240">
        <v>28.601964761548558</v>
      </c>
      <c r="O192" s="240">
        <v>14.300982380774279</v>
      </c>
      <c r="Q192" s="239"/>
      <c r="R192" s="239"/>
    </row>
    <row r="193" spans="1:18">
      <c r="A193" s="11">
        <v>62</v>
      </c>
      <c r="B193" s="12">
        <v>15.967189999999999</v>
      </c>
      <c r="C193" s="12">
        <v>5.1414499999999999</v>
      </c>
      <c r="E193" s="240">
        <v>51.399083959467191</v>
      </c>
      <c r="F193" s="240">
        <v>39.476616030724806</v>
      </c>
      <c r="H193" s="240">
        <v>79.511036958779897</v>
      </c>
      <c r="I193" s="240">
        <v>65.578119077603574</v>
      </c>
      <c r="K193" s="240">
        <v>133.41435263287937</v>
      </c>
      <c r="L193" s="240">
        <v>200.12152894931904</v>
      </c>
      <c r="N193" s="240">
        <v>30.238344688996019</v>
      </c>
      <c r="O193" s="240">
        <v>15.11917234449801</v>
      </c>
      <c r="Q193" s="239"/>
      <c r="R193" s="239"/>
    </row>
    <row r="194" spans="1:18">
      <c r="A194" s="11">
        <v>63</v>
      </c>
      <c r="B194" s="12">
        <v>16.921279999999999</v>
      </c>
      <c r="C194" s="12">
        <v>5.6442300000000003</v>
      </c>
      <c r="E194" s="240">
        <v>53.814516296230636</v>
      </c>
      <c r="F194" s="240">
        <v>41.331767670816319</v>
      </c>
      <c r="H194" s="240">
        <v>82.289890335227938</v>
      </c>
      <c r="I194" s="240">
        <v>67.870027026362735</v>
      </c>
      <c r="K194" s="240">
        <v>138.07708800221818</v>
      </c>
      <c r="L194" s="240">
        <v>207.11563200332728</v>
      </c>
      <c r="N194" s="240">
        <v>32.370413496330343</v>
      </c>
      <c r="O194" s="240">
        <v>16.185206748165172</v>
      </c>
      <c r="Q194" s="239"/>
      <c r="R194" s="239"/>
    </row>
    <row r="195" spans="1:18">
      <c r="A195" s="11">
        <v>64</v>
      </c>
      <c r="B195" s="12">
        <v>17.87294</v>
      </c>
      <c r="C195" s="12">
        <v>6.19604</v>
      </c>
      <c r="E195" s="240">
        <v>56.343458698233441</v>
      </c>
      <c r="F195" s="240">
        <v>43.274099721839086</v>
      </c>
      <c r="H195" s="240">
        <v>85.165862632308347</v>
      </c>
      <c r="I195" s="240">
        <v>70.242035504375693</v>
      </c>
      <c r="K195" s="240">
        <v>142.90278260866626</v>
      </c>
      <c r="L195" s="240">
        <v>214.35417391299939</v>
      </c>
      <c r="N195" s="240">
        <v>34.652811875139598</v>
      </c>
      <c r="O195" s="240">
        <v>17.326405937569799</v>
      </c>
      <c r="Q195" s="239"/>
      <c r="R195" s="239"/>
    </row>
    <row r="196" spans="1:18">
      <c r="A196" s="11">
        <v>65</v>
      </c>
      <c r="B196" s="12">
        <v>18.82189</v>
      </c>
      <c r="C196" s="12">
        <v>6.8015999999999996</v>
      </c>
      <c r="E196" s="240">
        <v>58.991245421672538</v>
      </c>
      <c r="F196" s="240">
        <v>45.307709112521692</v>
      </c>
      <c r="H196" s="240">
        <v>88.14234808622831</v>
      </c>
      <c r="I196" s="240">
        <v>72.696943967349341</v>
      </c>
      <c r="K196" s="240">
        <v>147.89713175998949</v>
      </c>
      <c r="L196" s="240">
        <v>221.84569763998422</v>
      </c>
      <c r="N196" s="240">
        <v>37.096139380176467</v>
      </c>
      <c r="O196" s="240">
        <v>18.548069690088234</v>
      </c>
      <c r="Q196" s="239"/>
      <c r="R196" s="239"/>
    </row>
    <row r="197" spans="1:18">
      <c r="A197" s="11">
        <v>66</v>
      </c>
      <c r="B197" s="12">
        <v>19.768910000000002</v>
      </c>
      <c r="C197" s="12">
        <v>7.4661299999999997</v>
      </c>
      <c r="E197" s="240">
        <v>61.763461399097778</v>
      </c>
      <c r="F197" s="240">
        <v>47.436885301368918</v>
      </c>
      <c r="H197" s="240">
        <v>91.222859559301583</v>
      </c>
      <c r="I197" s="240">
        <v>75.237649709947704</v>
      </c>
      <c r="K197" s="240">
        <v>153.06602981085118</v>
      </c>
      <c r="L197" s="240">
        <v>229.59904471627675</v>
      </c>
      <c r="N197" s="240">
        <v>39.711742927872741</v>
      </c>
      <c r="O197" s="240">
        <v>19.855871463936371</v>
      </c>
      <c r="Q197" s="239"/>
      <c r="R197" s="239"/>
    </row>
    <row r="198" spans="1:18">
      <c r="A198" s="11">
        <v>67</v>
      </c>
      <c r="B198" s="12">
        <v>20.671109999999999</v>
      </c>
      <c r="C198" s="12">
        <v>8.1953200000000006</v>
      </c>
      <c r="E198" s="240">
        <v>64.665954019617388</v>
      </c>
      <c r="F198" s="240">
        <v>49.666119324345317</v>
      </c>
      <c r="H198" s="240">
        <v>94.411032685845356</v>
      </c>
      <c r="I198" s="240">
        <v>77.86715128519306</v>
      </c>
      <c r="K198" s="240">
        <v>158.41557711935738</v>
      </c>
      <c r="L198" s="240">
        <v>237.62336567903606</v>
      </c>
      <c r="N198" s="240">
        <v>42.511769491899855</v>
      </c>
      <c r="O198" s="240">
        <v>21.255884745949928</v>
      </c>
      <c r="Q198" s="239"/>
      <c r="R198" s="239"/>
    </row>
    <row r="199" spans="1:18">
      <c r="A199" s="11">
        <v>68</v>
      </c>
      <c r="B199" s="12">
        <v>21.618839999999999</v>
      </c>
      <c r="C199" s="12">
        <v>8.9954000000000001</v>
      </c>
      <c r="E199" s="240">
        <v>68.379582687658612</v>
      </c>
      <c r="F199" s="240">
        <v>52.518339280727496</v>
      </c>
      <c r="H199" s="240">
        <v>99.383643817334971</v>
      </c>
      <c r="I199" s="240">
        <v>81.968399330498983</v>
      </c>
      <c r="K199" s="240">
        <v>162.51475897941555</v>
      </c>
      <c r="L199" s="240">
        <v>243.77213846912332</v>
      </c>
      <c r="N199" s="240">
        <v>47.288825684295546</v>
      </c>
      <c r="O199" s="240">
        <v>23.644412842147773</v>
      </c>
      <c r="Q199" s="239"/>
      <c r="R199" s="239"/>
    </row>
    <row r="200" spans="1:18">
      <c r="A200" s="11">
        <v>69</v>
      </c>
      <c r="B200" s="12">
        <v>22.56598</v>
      </c>
      <c r="C200" s="12">
        <v>9.873190000000001</v>
      </c>
      <c r="E200" s="240">
        <v>72.306477178390921</v>
      </c>
      <c r="F200" s="240">
        <v>55.534356183403339</v>
      </c>
      <c r="H200" s="240">
        <v>104.61816143116647</v>
      </c>
      <c r="I200" s="240">
        <v>86.285659330159319</v>
      </c>
      <c r="K200" s="240">
        <v>166.72001179680873</v>
      </c>
      <c r="L200" s="240">
        <v>250.08001769521309</v>
      </c>
      <c r="N200" s="240">
        <v>52.60268065354888</v>
      </c>
      <c r="O200" s="240">
        <v>26.30134032677444</v>
      </c>
      <c r="Q200" s="239"/>
      <c r="R200" s="239"/>
    </row>
    <row r="201" spans="1:18">
      <c r="A201" s="11">
        <v>70</v>
      </c>
      <c r="B201" s="12">
        <v>23.512729999999998</v>
      </c>
      <c r="C201" s="12">
        <v>10.836180000000001</v>
      </c>
      <c r="E201" s="240">
        <v>76.458884895955592</v>
      </c>
      <c r="F201" s="240">
        <v>58.723576543800945</v>
      </c>
      <c r="H201" s="240">
        <v>110.12838009194161</v>
      </c>
      <c r="I201" s="240">
        <v>90.830308592717373</v>
      </c>
      <c r="K201" s="240">
        <v>171.03408027727923</v>
      </c>
      <c r="L201" s="240">
        <v>256.55112041591883</v>
      </c>
      <c r="N201" s="240">
        <v>58.513654587497413</v>
      </c>
      <c r="O201" s="240">
        <v>29.256827293748707</v>
      </c>
      <c r="Q201" s="239"/>
      <c r="R201" s="239"/>
    </row>
    <row r="202" spans="1:18">
      <c r="A202" s="11">
        <v>71</v>
      </c>
      <c r="B202" s="12">
        <v>25.516400000000001</v>
      </c>
      <c r="C202" s="12">
        <v>11.892530000000001</v>
      </c>
      <c r="E202" s="240">
        <v>80.849756586953106</v>
      </c>
      <c r="F202" s="240">
        <v>62.095947069360896</v>
      </c>
      <c r="H202" s="240">
        <v>115.92882092135551</v>
      </c>
      <c r="I202" s="240">
        <v>95.614323667393052</v>
      </c>
      <c r="K202" s="240">
        <v>175.45978014892833</v>
      </c>
      <c r="L202" s="240">
        <v>263.18967022339251</v>
      </c>
      <c r="N202" s="240">
        <v>65.088845865766061</v>
      </c>
      <c r="O202" s="240">
        <v>32.54442293288303</v>
      </c>
      <c r="Q202" s="239"/>
      <c r="R202" s="239"/>
    </row>
    <row r="203" spans="1:18">
      <c r="A203" s="11">
        <v>72</v>
      </c>
      <c r="B203" s="12">
        <v>27.81936</v>
      </c>
      <c r="C203" s="12">
        <v>13.051170000000001</v>
      </c>
      <c r="E203" s="240">
        <v>85.492786731909746</v>
      </c>
      <c r="F203" s="240">
        <v>65.661985685848208</v>
      </c>
      <c r="H203" s="240">
        <v>122.03476986582061</v>
      </c>
      <c r="I203" s="240">
        <v>100.65031190597539</v>
      </c>
      <c r="K203" s="240">
        <v>180</v>
      </c>
      <c r="L203" s="240">
        <v>270</v>
      </c>
      <c r="N203" s="240">
        <v>72.402892726558136</v>
      </c>
      <c r="O203" s="240">
        <v>36.201446363279068</v>
      </c>
      <c r="Q203" s="239"/>
      <c r="R203" s="239"/>
    </row>
    <row r="204" spans="1:18">
      <c r="A204" s="11">
        <v>73</v>
      </c>
      <c r="B204" s="12">
        <v>30.481210000000001</v>
      </c>
      <c r="C204" s="12">
        <v>14.321870000000001</v>
      </c>
      <c r="E204" s="240">
        <v>89.65246866106672</v>
      </c>
      <c r="F204" s="240">
        <v>68.85679294071619</v>
      </c>
      <c r="H204" s="240">
        <v>127.97241497419108</v>
      </c>
      <c r="I204" s="240">
        <v>105.54748861062748</v>
      </c>
      <c r="K204" s="240">
        <v>188.75796398585274</v>
      </c>
      <c r="L204" s="240">
        <v>283.13694597877912</v>
      </c>
      <c r="N204" s="240">
        <v>75.925681209728992</v>
      </c>
      <c r="O204" s="240">
        <v>37.962840604864496</v>
      </c>
      <c r="Q204" s="239"/>
      <c r="R204" s="239"/>
    </row>
    <row r="205" spans="1:18">
      <c r="A205" s="11">
        <v>74</v>
      </c>
      <c r="B205" s="12">
        <v>33.574350000000003</v>
      </c>
      <c r="C205" s="12">
        <v>15.715310000000001</v>
      </c>
      <c r="E205" s="240">
        <v>94.899667337125081</v>
      </c>
      <c r="F205" s="240">
        <v>72.886857903255859</v>
      </c>
      <c r="H205" s="240">
        <v>135.46241158502815</v>
      </c>
      <c r="I205" s="240">
        <v>111.72499438119061</v>
      </c>
      <c r="K205" s="240">
        <v>199.80563008489187</v>
      </c>
      <c r="L205" s="240">
        <v>299.70844512733782</v>
      </c>
      <c r="N205" s="240">
        <v>80.36947556221547</v>
      </c>
      <c r="O205" s="240">
        <v>40.184737781107735</v>
      </c>
      <c r="Q205" s="239"/>
      <c r="R205" s="239"/>
    </row>
    <row r="206" spans="1:18">
      <c r="A206" s="11">
        <v>75</v>
      </c>
      <c r="B206" s="12">
        <v>37.187329999999996</v>
      </c>
      <c r="C206" s="12">
        <v>17.243120000000001</v>
      </c>
      <c r="E206" s="240">
        <v>99.539717271236938</v>
      </c>
      <c r="F206" s="240">
        <v>76.450607594919092</v>
      </c>
      <c r="H206" s="240">
        <v>142.0857472782593</v>
      </c>
      <c r="I206" s="240">
        <v>117.18770639445272</v>
      </c>
      <c r="K206" s="240">
        <v>209.574980460137</v>
      </c>
      <c r="L206" s="240">
        <v>314.3624706902055</v>
      </c>
      <c r="N206" s="240">
        <v>84.299082380143432</v>
      </c>
      <c r="O206" s="240">
        <v>42.149541190071716</v>
      </c>
      <c r="Q206" s="239"/>
      <c r="R206" s="239"/>
    </row>
    <row r="207" spans="1:18">
      <c r="A207" s="11">
        <v>76</v>
      </c>
      <c r="B207" s="12">
        <v>39.421730000000004</v>
      </c>
      <c r="C207" s="12">
        <v>18.918040000000001</v>
      </c>
      <c r="E207" s="240">
        <v>105.10103109503842</v>
      </c>
      <c r="F207" s="240">
        <v>80.721925944127449</v>
      </c>
      <c r="H207" s="240">
        <v>150.02412054438548</v>
      </c>
      <c r="I207" s="240">
        <v>123.73501865750833</v>
      </c>
      <c r="K207" s="240">
        <v>221.28399740238899</v>
      </c>
      <c r="L207" s="240">
        <v>331.92599610358349</v>
      </c>
      <c r="N207" s="240">
        <v>89.008897366828549</v>
      </c>
      <c r="O207" s="240">
        <v>44.504448683414275</v>
      </c>
      <c r="Q207" s="239"/>
      <c r="R207" s="239"/>
    </row>
    <row r="208" spans="1:18">
      <c r="A208" s="11">
        <v>77</v>
      </c>
      <c r="B208" s="12">
        <v>42.40343</v>
      </c>
      <c r="C208" s="12">
        <v>20.75393</v>
      </c>
      <c r="E208" s="240">
        <v>111.0260017174016</v>
      </c>
      <c r="F208" s="240">
        <v>85.272547710787833</v>
      </c>
      <c r="H208" s="240">
        <v>158.48158758928605</v>
      </c>
      <c r="I208" s="240">
        <v>130.71046259811405</v>
      </c>
      <c r="K208" s="240">
        <v>233.75867220003843</v>
      </c>
      <c r="L208" s="240">
        <v>350.63800830005766</v>
      </c>
      <c r="N208" s="240">
        <v>94.026689262233617</v>
      </c>
      <c r="O208" s="240">
        <v>47.013344631116809</v>
      </c>
      <c r="Q208" s="239"/>
      <c r="R208" s="239"/>
    </row>
    <row r="209" spans="1:18">
      <c r="A209" s="11">
        <v>78</v>
      </c>
      <c r="B209" s="12">
        <v>45.275320000000001</v>
      </c>
      <c r="C209" s="12">
        <v>22.765899999999998</v>
      </c>
      <c r="E209" s="240">
        <v>117.60450049949885</v>
      </c>
      <c r="F209" s="240">
        <v>90.325106053738821</v>
      </c>
      <c r="H209" s="240">
        <v>167.87191881633186</v>
      </c>
      <c r="I209" s="240">
        <v>138.45530259692566</v>
      </c>
      <c r="K209" s="240">
        <v>247.6093118392717</v>
      </c>
      <c r="L209" s="240">
        <v>371.41396775890757</v>
      </c>
      <c r="N209" s="240">
        <v>99.597946906642605</v>
      </c>
      <c r="O209" s="240">
        <v>49.798973453321302</v>
      </c>
      <c r="Q209" s="239"/>
      <c r="R209" s="239"/>
    </row>
    <row r="210" spans="1:18">
      <c r="A210" s="11">
        <v>79</v>
      </c>
      <c r="B210" s="12">
        <v>48.33681</v>
      </c>
      <c r="C210" s="12">
        <v>24.970420000000001</v>
      </c>
      <c r="E210" s="240">
        <v>125.11164171502467</v>
      </c>
      <c r="F210" s="240">
        <v>96.090900080096276</v>
      </c>
      <c r="H210" s="240">
        <v>178.58781995381307</v>
      </c>
      <c r="I210" s="240">
        <v>147.29342957522027</v>
      </c>
      <c r="K210" s="240">
        <v>263.41515313243292</v>
      </c>
      <c r="L210" s="240">
        <v>395.12272969864938</v>
      </c>
      <c r="N210" s="240">
        <v>105.95566152665236</v>
      </c>
      <c r="O210" s="240">
        <v>52.977830763326182</v>
      </c>
      <c r="Q210" s="239"/>
      <c r="R210" s="239"/>
    </row>
    <row r="211" spans="1:18">
      <c r="A211" s="11">
        <v>80</v>
      </c>
      <c r="B211" s="12">
        <v>51.599699999999999</v>
      </c>
      <c r="C211" s="12">
        <v>27.382100000000001</v>
      </c>
      <c r="E211" s="240">
        <v>132.22666603471004</v>
      </c>
      <c r="F211" s="240">
        <v>101.55553216067936</v>
      </c>
      <c r="H211" s="240">
        <v>188.74400258200714</v>
      </c>
      <c r="I211" s="240">
        <v>155.66991891859129</v>
      </c>
      <c r="K211" s="240">
        <v>278.39541552064389</v>
      </c>
      <c r="L211" s="240">
        <v>417.59312328096587</v>
      </c>
      <c r="N211" s="240">
        <v>111.98129669725976</v>
      </c>
      <c r="O211" s="240">
        <v>55.990648348629882</v>
      </c>
      <c r="Q211" s="239"/>
      <c r="R211" s="239"/>
    </row>
    <row r="212" spans="1:18">
      <c r="A212" s="11">
        <v>81</v>
      </c>
      <c r="B212" s="12">
        <v>55.075330000000001</v>
      </c>
      <c r="C212" s="12">
        <v>30.026359999999997</v>
      </c>
      <c r="E212" s="240">
        <v>139.64631880304566</v>
      </c>
      <c r="F212" s="240">
        <v>107.25413145182374</v>
      </c>
      <c r="H212" s="240">
        <v>199.33502028865277</v>
      </c>
      <c r="I212" s="240">
        <v>164.40504610199702</v>
      </c>
      <c r="K212" s="240">
        <v>294.01705506888339</v>
      </c>
      <c r="L212" s="240">
        <v>441.02558260332512</v>
      </c>
      <c r="N212" s="240">
        <v>118.26491832183835</v>
      </c>
      <c r="O212" s="240">
        <v>59.132459160919176</v>
      </c>
      <c r="Q212" s="239"/>
      <c r="R212" s="239"/>
    </row>
    <row r="213" spans="1:18">
      <c r="A213" s="11">
        <v>82</v>
      </c>
      <c r="B213" s="12">
        <v>58.77769</v>
      </c>
      <c r="C213" s="12">
        <v>32.921590000000002</v>
      </c>
      <c r="E213" s="240">
        <v>150.50753518675501</v>
      </c>
      <c r="F213" s="240">
        <v>115.59599351972422</v>
      </c>
      <c r="H213" s="240">
        <v>214.83862114804708</v>
      </c>
      <c r="I213" s="240">
        <v>177.19191220482588</v>
      </c>
      <c r="K213" s="240">
        <v>316.88470301675392</v>
      </c>
      <c r="L213" s="240">
        <v>475.32705452513085</v>
      </c>
      <c r="N213" s="240">
        <v>127.46316199560704</v>
      </c>
      <c r="O213" s="240">
        <v>63.731580997803519</v>
      </c>
      <c r="Q213" s="239"/>
      <c r="R213" s="239"/>
    </row>
    <row r="214" spans="1:18">
      <c r="A214" s="11">
        <v>83</v>
      </c>
      <c r="B214" s="12">
        <v>62.720540000000007</v>
      </c>
      <c r="C214" s="12">
        <v>36.090710000000001</v>
      </c>
      <c r="E214" s="240">
        <v>164.04189255931209</v>
      </c>
      <c r="F214" s="240">
        <v>125.99093809967785</v>
      </c>
      <c r="H214" s="240">
        <v>234.15793743634512</v>
      </c>
      <c r="I214" s="240">
        <v>193.12585637799387</v>
      </c>
      <c r="K214" s="240">
        <v>345.38049102632851</v>
      </c>
      <c r="L214" s="240">
        <v>518.07073653949283</v>
      </c>
      <c r="N214" s="240">
        <v>138.92525912014023</v>
      </c>
      <c r="O214" s="240">
        <v>69.462629560070113</v>
      </c>
      <c r="Q214" s="239"/>
      <c r="R214" s="239"/>
    </row>
    <row r="215" spans="1:18">
      <c r="A215" s="11">
        <v>84</v>
      </c>
      <c r="B215" s="12">
        <v>66.918309999999991</v>
      </c>
      <c r="C215" s="12">
        <v>39.558540000000001</v>
      </c>
      <c r="E215" s="240">
        <v>170.82488241074549</v>
      </c>
      <c r="F215" s="240">
        <v>131.2005540165004</v>
      </c>
      <c r="H215" s="240">
        <v>243.84016487522348</v>
      </c>
      <c r="I215" s="240">
        <v>201.11144288534092</v>
      </c>
      <c r="K215" s="240">
        <v>359.66167450308961</v>
      </c>
      <c r="L215" s="240">
        <v>539.49251175463439</v>
      </c>
      <c r="N215" s="240">
        <v>144.66969798278592</v>
      </c>
      <c r="O215" s="240">
        <v>72.33484899139296</v>
      </c>
      <c r="Q215" s="239"/>
      <c r="R215" s="239"/>
    </row>
    <row r="216" spans="1:18">
      <c r="A216" s="11">
        <v>85</v>
      </c>
      <c r="B216" s="12">
        <v>71.386130000000009</v>
      </c>
      <c r="C216" s="12">
        <v>43.351969999999994</v>
      </c>
      <c r="E216" s="240">
        <v>183.47276045695361</v>
      </c>
      <c r="F216" s="240">
        <v>140.91464591796952</v>
      </c>
      <c r="H216" s="240">
        <v>261.89409603903096</v>
      </c>
      <c r="I216" s="240">
        <v>216.00173853439409</v>
      </c>
      <c r="K216" s="240">
        <v>386.2910327839997</v>
      </c>
      <c r="L216" s="240">
        <v>579.43654917599952</v>
      </c>
      <c r="N216" s="240">
        <v>155.38104559939603</v>
      </c>
      <c r="O216" s="240">
        <v>77.690522799698016</v>
      </c>
      <c r="Q216" s="239"/>
      <c r="R216" s="239"/>
    </row>
    <row r="217" spans="1:18">
      <c r="A217" s="11">
        <v>86</v>
      </c>
      <c r="B217" s="12">
        <v>76.139840000000007</v>
      </c>
      <c r="C217" s="12">
        <v>47.5</v>
      </c>
      <c r="E217" s="240">
        <v>192.64639847980129</v>
      </c>
      <c r="F217" s="240">
        <v>147.96037821386801</v>
      </c>
      <c r="H217" s="240">
        <v>274.98880084098249</v>
      </c>
      <c r="I217" s="240">
        <v>226.80182546111379</v>
      </c>
      <c r="K217" s="240">
        <v>405.60558442319967</v>
      </c>
      <c r="L217" s="240">
        <v>608.40837663479954</v>
      </c>
      <c r="N217" s="240">
        <v>163.15009787936583</v>
      </c>
      <c r="O217" s="240">
        <v>81.575048939682915</v>
      </c>
      <c r="Q217" s="239"/>
      <c r="R217" s="239"/>
    </row>
    <row r="218" spans="1:18">
      <c r="A218" s="11">
        <v>87</v>
      </c>
      <c r="B218" s="12">
        <v>81.195980000000006</v>
      </c>
      <c r="C218" s="12">
        <v>52.033929999999998</v>
      </c>
      <c r="E218" s="240">
        <v>202.27856029213982</v>
      </c>
      <c r="F218" s="240">
        <v>155.35827568829296</v>
      </c>
      <c r="H218" s="240">
        <v>288.73801519008435</v>
      </c>
      <c r="I218" s="240">
        <v>238.14173058996187</v>
      </c>
      <c r="K218" s="240">
        <v>425.88553074963994</v>
      </c>
      <c r="L218" s="240">
        <v>638.82829612445994</v>
      </c>
      <c r="N218" s="240">
        <v>171.30746887033033</v>
      </c>
      <c r="O218" s="240">
        <v>85.653734435165163</v>
      </c>
      <c r="Q218" s="239"/>
      <c r="R218" s="239"/>
    </row>
    <row r="219" spans="1:18">
      <c r="A219" s="11">
        <v>88</v>
      </c>
      <c r="B219" s="12">
        <v>86.571809999999999</v>
      </c>
      <c r="C219" s="12">
        <v>56.987410000000004</v>
      </c>
      <c r="E219" s="240">
        <v>212.39243560286295</v>
      </c>
      <c r="F219" s="240">
        <v>163.12614899395146</v>
      </c>
      <c r="H219" s="240">
        <v>303.17484071860616</v>
      </c>
      <c r="I219" s="240">
        <v>250.04875507139076</v>
      </c>
      <c r="K219" s="240">
        <v>447.17969632221536</v>
      </c>
      <c r="L219" s="240">
        <v>670.76954448332299</v>
      </c>
      <c r="N219" s="240">
        <v>179.87279767951225</v>
      </c>
      <c r="O219" s="240">
        <v>89.936398839756123</v>
      </c>
      <c r="Q219" s="239"/>
      <c r="R219" s="239"/>
    </row>
    <row r="220" spans="1:18">
      <c r="A220" s="11">
        <v>89</v>
      </c>
      <c r="B220" s="12">
        <v>93.254680000000008</v>
      </c>
      <c r="C220" s="12">
        <v>62.396590000000003</v>
      </c>
      <c r="E220" s="240">
        <v>223.01226819854148</v>
      </c>
      <c r="F220" s="240">
        <v>171.28261835867363</v>
      </c>
      <c r="H220" s="240">
        <v>318.33388367846618</v>
      </c>
      <c r="I220" s="240">
        <v>262.55144101723715</v>
      </c>
      <c r="K220" s="240">
        <v>469.53912499795246</v>
      </c>
      <c r="L220" s="240">
        <v>704.30868749692866</v>
      </c>
      <c r="N220" s="240">
        <v>188.86661610082623</v>
      </c>
      <c r="O220" s="240">
        <v>94.433308050413117</v>
      </c>
      <c r="Q220" s="239"/>
      <c r="R220" s="239"/>
    </row>
    <row r="221" spans="1:18">
      <c r="A221" s="11">
        <v>90</v>
      </c>
      <c r="B221" s="12">
        <v>101.49249</v>
      </c>
      <c r="C221" s="12">
        <v>68.300190000000001</v>
      </c>
      <c r="E221" s="240">
        <v>234.16230186574623</v>
      </c>
      <c r="F221" s="240">
        <v>179.84630401028963</v>
      </c>
      <c r="H221" s="240">
        <v>334.24975032158272</v>
      </c>
      <c r="I221" s="240">
        <v>275.67833053933765</v>
      </c>
      <c r="K221" s="240">
        <v>493.01486063387767</v>
      </c>
      <c r="L221" s="240">
        <v>739.52229095081657</v>
      </c>
      <c r="N221" s="240">
        <v>198.30945592818699</v>
      </c>
      <c r="O221" s="240">
        <v>99.154727964093496</v>
      </c>
      <c r="Q221" s="239"/>
      <c r="R221" s="239"/>
    </row>
    <row r="222" spans="1:18">
      <c r="A222" s="11">
        <v>91</v>
      </c>
      <c r="B222" s="12">
        <v>111.60518</v>
      </c>
      <c r="C222" s="12">
        <v>74.739550000000008</v>
      </c>
      <c r="E222" s="240">
        <v>258.16470464849522</v>
      </c>
      <c r="F222" s="240">
        <v>198.28113913724633</v>
      </c>
      <c r="H222" s="240">
        <v>368.51144434033932</v>
      </c>
      <c r="I222" s="240">
        <v>303.93626221902679</v>
      </c>
      <c r="K222" s="240">
        <v>543.55049838824084</v>
      </c>
      <c r="L222" s="240">
        <v>815.32574758236126</v>
      </c>
      <c r="N222" s="240">
        <v>218.63682459039453</v>
      </c>
      <c r="O222" s="240">
        <v>109.31841229519726</v>
      </c>
      <c r="Q222" s="239"/>
      <c r="R222" s="239"/>
    </row>
    <row r="223" spans="1:18">
      <c r="A223" s="11">
        <v>92</v>
      </c>
      <c r="B223" s="12">
        <v>124.0055</v>
      </c>
      <c r="C223" s="12">
        <v>81.758690000000001</v>
      </c>
      <c r="E223" s="240">
        <v>284.62627065166288</v>
      </c>
      <c r="F223" s="240">
        <v>218.60471302627718</v>
      </c>
      <c r="H223" s="240">
        <v>406.28341599932952</v>
      </c>
      <c r="I223" s="240">
        <v>335.08935680806178</v>
      </c>
      <c r="K223" s="240">
        <v>599.26375868359605</v>
      </c>
      <c r="L223" s="240">
        <v>898.89563802539408</v>
      </c>
      <c r="N223" s="240">
        <v>241.04683130490238</v>
      </c>
      <c r="O223" s="240">
        <v>120.52341565245119</v>
      </c>
      <c r="Q223" s="239"/>
      <c r="R223" s="239"/>
    </row>
    <row r="224" spans="1:18">
      <c r="A224" s="11">
        <v>93</v>
      </c>
      <c r="B224" s="12">
        <v>139.22717</v>
      </c>
      <c r="C224" s="12">
        <v>90.420789999999997</v>
      </c>
      <c r="E224" s="240">
        <v>313.80103259540391</v>
      </c>
      <c r="F224" s="240">
        <v>241.01213328203704</v>
      </c>
      <c r="H224" s="240">
        <v>447.92827863387106</v>
      </c>
      <c r="I224" s="240">
        <v>369.43668600003559</v>
      </c>
      <c r="K224" s="240">
        <v>660.6894923696558</v>
      </c>
      <c r="L224" s="240">
        <v>991.03423855448364</v>
      </c>
      <c r="N224" s="240">
        <v>265.75461356446851</v>
      </c>
      <c r="O224" s="240">
        <v>132.87730678223426</v>
      </c>
      <c r="Q224" s="239"/>
      <c r="R224" s="239"/>
    </row>
    <row r="225" spans="1:18">
      <c r="A225" s="11">
        <v>94</v>
      </c>
      <c r="B225" s="12">
        <v>156.32075</v>
      </c>
      <c r="C225" s="12">
        <v>101.10721000000001</v>
      </c>
      <c r="E225" s="240">
        <v>345.96515883108975</v>
      </c>
      <c r="F225" s="240">
        <v>265.71550858676483</v>
      </c>
      <c r="H225" s="240">
        <v>493.84024259190272</v>
      </c>
      <c r="I225" s="240">
        <v>407.30338167760942</v>
      </c>
      <c r="K225" s="240">
        <v>728.4091555568956</v>
      </c>
      <c r="L225" s="240">
        <v>1000</v>
      </c>
      <c r="N225" s="240">
        <v>292.99405528238174</v>
      </c>
      <c r="O225" s="240">
        <v>146.49702764119087</v>
      </c>
      <c r="Q225" s="239"/>
      <c r="R225" s="239"/>
    </row>
    <row r="226" spans="1:18">
      <c r="A226" s="11">
        <v>95</v>
      </c>
      <c r="B226" s="12">
        <v>175.51689999999999</v>
      </c>
      <c r="C226" s="12">
        <v>114.31587</v>
      </c>
      <c r="E226" s="240">
        <v>381.4264400404017</v>
      </c>
      <c r="F226" s="240">
        <v>292.95123487639103</v>
      </c>
      <c r="H226" s="240">
        <v>544.45865681082194</v>
      </c>
      <c r="I226" s="240">
        <v>449.05180456497055</v>
      </c>
      <c r="K226" s="240">
        <v>803.07078329973899</v>
      </c>
      <c r="L226" s="240">
        <v>1000</v>
      </c>
      <c r="N226" s="240">
        <v>323.02582097268896</v>
      </c>
      <c r="O226" s="240">
        <v>161.51291048634448</v>
      </c>
      <c r="Q226" s="239"/>
      <c r="R226" s="239"/>
    </row>
    <row r="227" spans="1:18">
      <c r="A227" s="11">
        <v>96</v>
      </c>
      <c r="B227" s="12">
        <v>197.07469</v>
      </c>
      <c r="C227" s="12">
        <v>130.69990000000001</v>
      </c>
      <c r="E227" s="240">
        <v>420.52323515765357</v>
      </c>
      <c r="F227" s="240">
        <v>322.97918576541434</v>
      </c>
      <c r="H227" s="240">
        <v>600.26650419783618</v>
      </c>
      <c r="I227" s="240">
        <v>495.08030326644831</v>
      </c>
      <c r="K227" s="240">
        <v>885.38677029842529</v>
      </c>
      <c r="L227" s="240">
        <v>1000</v>
      </c>
      <c r="N227" s="240">
        <v>356.13646306350364</v>
      </c>
      <c r="O227" s="240">
        <v>178.06823153175182</v>
      </c>
      <c r="Q227" s="239"/>
      <c r="R227" s="239"/>
    </row>
    <row r="228" spans="1:18">
      <c r="A228" s="11">
        <v>97</v>
      </c>
      <c r="B228" s="12">
        <v>221.28031999999999</v>
      </c>
      <c r="C228" s="12">
        <v>151.12111999999999</v>
      </c>
      <c r="E228" s="240">
        <v>463.6265795251461</v>
      </c>
      <c r="F228" s="240">
        <v>356.08433169714829</v>
      </c>
      <c r="H228" s="240">
        <v>661.79341086926013</v>
      </c>
      <c r="I228" s="240">
        <v>545.8256961892821</v>
      </c>
      <c r="K228" s="240">
        <v>976.13830949527301</v>
      </c>
      <c r="L228" s="240">
        <v>1000</v>
      </c>
      <c r="N228" s="240">
        <v>392.64020727038923</v>
      </c>
      <c r="O228" s="240">
        <v>196.32010363519461</v>
      </c>
      <c r="Q228" s="239"/>
      <c r="R228" s="239"/>
    </row>
    <row r="229" spans="1:18">
      <c r="A229" s="11">
        <v>98</v>
      </c>
      <c r="B229" s="12">
        <v>248.47002000000001</v>
      </c>
      <c r="C229" s="12">
        <v>174.73764</v>
      </c>
      <c r="E229" s="240">
        <v>511.14756343690544</v>
      </c>
      <c r="F229" s="240">
        <v>392.58240696958205</v>
      </c>
      <c r="H229" s="240">
        <v>729.6261784880561</v>
      </c>
      <c r="I229" s="240">
        <v>601.77195827331104</v>
      </c>
      <c r="K229" s="240">
        <v>1000</v>
      </c>
      <c r="L229" s="240">
        <v>1000</v>
      </c>
      <c r="N229" s="240">
        <v>432.88520140320298</v>
      </c>
      <c r="O229" s="240">
        <v>216.44260070160149</v>
      </c>
      <c r="Q229" s="239"/>
      <c r="R229" s="239"/>
    </row>
    <row r="230" spans="1:18">
      <c r="A230" s="11">
        <v>99</v>
      </c>
      <c r="B230" s="12">
        <v>279.00682999999998</v>
      </c>
      <c r="C230" s="12">
        <v>202.05015</v>
      </c>
      <c r="E230" s="240">
        <v>563.54049437171466</v>
      </c>
      <c r="F230" s="240">
        <v>432.82233846074996</v>
      </c>
      <c r="H230" s="240">
        <v>804.41329812278002</v>
      </c>
      <c r="I230" s="240">
        <v>663.45394387512692</v>
      </c>
      <c r="K230" s="240">
        <v>1000</v>
      </c>
      <c r="L230" s="240">
        <v>1000</v>
      </c>
      <c r="N230" s="240">
        <v>477.25619342617199</v>
      </c>
      <c r="O230" s="240">
        <v>238.62809671308599</v>
      </c>
      <c r="Q230" s="239"/>
      <c r="R230" s="239"/>
    </row>
    <row r="231" spans="1:18">
      <c r="A231" s="11">
        <v>100</v>
      </c>
      <c r="B231" s="12">
        <v>313.30354</v>
      </c>
      <c r="C231" s="12">
        <v>233.6379</v>
      </c>
      <c r="E231" s="240">
        <v>621.30395107078994</v>
      </c>
      <c r="F231" s="240">
        <v>477.18705520385413</v>
      </c>
      <c r="H231" s="240">
        <v>886.86645486722955</v>
      </c>
      <c r="I231" s="240">
        <v>731.45862772945748</v>
      </c>
      <c r="K231" s="240">
        <v>1000</v>
      </c>
      <c r="L231" s="240">
        <v>1000</v>
      </c>
      <c r="N231" s="240">
        <v>526.17542414458455</v>
      </c>
      <c r="O231" s="240">
        <v>263.08771207229228</v>
      </c>
      <c r="Q231" s="239"/>
      <c r="R231" s="239"/>
    </row>
    <row r="232" spans="1:18">
      <c r="A232" s="11">
        <v>101</v>
      </c>
      <c r="B232" s="12">
        <v>351.82396</v>
      </c>
      <c r="C232" s="12">
        <v>270.16395</v>
      </c>
      <c r="E232" s="240">
        <v>1000</v>
      </c>
      <c r="F232" s="240">
        <v>1000</v>
      </c>
      <c r="H232" s="240">
        <v>1000</v>
      </c>
      <c r="I232" s="240">
        <v>1000</v>
      </c>
      <c r="K232" s="240">
        <v>1000</v>
      </c>
      <c r="L232" s="240">
        <v>1000</v>
      </c>
      <c r="N232" s="240">
        <v>1000</v>
      </c>
      <c r="O232" s="240">
        <v>1000</v>
      </c>
      <c r="Q232" s="239"/>
      <c r="R232" s="239"/>
    </row>
    <row r="233" spans="1:18">
      <c r="A233" s="11">
        <v>102</v>
      </c>
      <c r="B233" s="12">
        <v>395.08919999999995</v>
      </c>
      <c r="C233" s="12">
        <v>312.41675000000004</v>
      </c>
      <c r="E233" s="240">
        <v>1000</v>
      </c>
      <c r="F233" s="240">
        <v>1000</v>
      </c>
      <c r="H233" s="240">
        <v>1000</v>
      </c>
      <c r="I233" s="240">
        <v>1000</v>
      </c>
      <c r="K233" s="240">
        <v>1000</v>
      </c>
      <c r="L233" s="240">
        <v>1000</v>
      </c>
      <c r="N233" s="240">
        <v>1000</v>
      </c>
      <c r="O233" s="240">
        <v>1000</v>
      </c>
      <c r="Q233" s="239"/>
      <c r="R233" s="239"/>
    </row>
    <row r="234" spans="1:18">
      <c r="A234" s="11">
        <v>103</v>
      </c>
      <c r="B234" s="12">
        <v>443.68477999999999</v>
      </c>
      <c r="C234" s="12">
        <v>361.28724</v>
      </c>
      <c r="E234" s="240">
        <v>1000</v>
      </c>
      <c r="F234" s="240">
        <v>1000</v>
      </c>
      <c r="H234" s="240">
        <v>1000</v>
      </c>
      <c r="I234" s="240">
        <v>1000</v>
      </c>
      <c r="K234" s="240">
        <v>1000</v>
      </c>
      <c r="L234" s="240">
        <v>1000</v>
      </c>
      <c r="N234" s="240">
        <v>1000</v>
      </c>
      <c r="O234" s="240">
        <v>1000</v>
      </c>
      <c r="Q234" s="239"/>
      <c r="R234" s="239"/>
    </row>
    <row r="235" spans="1:18">
      <c r="A235" s="11">
        <v>104</v>
      </c>
      <c r="B235" s="12">
        <v>498.26864</v>
      </c>
      <c r="C235" s="12">
        <v>417.81337000000002</v>
      </c>
      <c r="E235" s="240">
        <v>1000</v>
      </c>
      <c r="F235" s="240">
        <v>1000</v>
      </c>
      <c r="H235" s="240">
        <v>1000</v>
      </c>
      <c r="I235" s="240">
        <v>1000</v>
      </c>
      <c r="K235" s="240">
        <v>1000</v>
      </c>
      <c r="L235" s="240">
        <v>1000</v>
      </c>
      <c r="N235" s="240">
        <v>1000</v>
      </c>
      <c r="O235" s="240">
        <v>1000</v>
      </c>
      <c r="Q235" s="239"/>
      <c r="R235" s="239"/>
    </row>
    <row r="236" spans="1:18">
      <c r="A236" s="11">
        <v>105</v>
      </c>
      <c r="B236" s="12">
        <v>559.58002999999997</v>
      </c>
      <c r="C236" s="12">
        <v>483.19612000000001</v>
      </c>
      <c r="E236" s="240">
        <v>1000</v>
      </c>
      <c r="F236" s="240">
        <v>1000</v>
      </c>
      <c r="H236" s="240">
        <v>1000</v>
      </c>
      <c r="I236" s="240">
        <v>1000</v>
      </c>
      <c r="K236" s="240">
        <v>1000</v>
      </c>
      <c r="L236" s="240">
        <v>1000</v>
      </c>
      <c r="N236" s="240">
        <v>1000</v>
      </c>
      <c r="O236" s="240">
        <v>1000</v>
      </c>
      <c r="Q236" s="239"/>
      <c r="R236" s="239"/>
    </row>
    <row r="237" spans="1:18">
      <c r="A237" s="11">
        <v>106</v>
      </c>
      <c r="B237" s="12">
        <v>628.44965000000002</v>
      </c>
      <c r="C237" s="12">
        <v>558.8251600000001</v>
      </c>
      <c r="E237" s="240">
        <v>1000</v>
      </c>
      <c r="F237" s="240">
        <v>1000</v>
      </c>
      <c r="H237" s="240">
        <v>1000</v>
      </c>
      <c r="I237" s="240">
        <v>1000</v>
      </c>
      <c r="K237" s="240">
        <v>1000</v>
      </c>
      <c r="L237" s="240">
        <v>1000</v>
      </c>
      <c r="N237" s="240">
        <v>1000</v>
      </c>
      <c r="O237" s="240">
        <v>1000</v>
      </c>
      <c r="Q237" s="239"/>
      <c r="R237" s="239"/>
    </row>
    <row r="238" spans="1:18">
      <c r="A238" s="11">
        <v>107</v>
      </c>
      <c r="B238" s="12">
        <v>705.82142999999996</v>
      </c>
      <c r="C238" s="12">
        <v>646.31979999999999</v>
      </c>
      <c r="E238" s="240">
        <v>1000</v>
      </c>
      <c r="F238" s="240">
        <v>1000</v>
      </c>
      <c r="H238" s="240">
        <v>1000</v>
      </c>
      <c r="I238" s="240">
        <v>1000</v>
      </c>
      <c r="K238" s="240">
        <v>1000</v>
      </c>
      <c r="L238" s="240">
        <v>1000</v>
      </c>
      <c r="N238" s="240">
        <v>1000</v>
      </c>
      <c r="O238" s="240">
        <v>1000</v>
      </c>
      <c r="Q238" s="239"/>
      <c r="R238" s="239"/>
    </row>
    <row r="239" spans="1:18">
      <c r="A239" s="11">
        <v>108</v>
      </c>
      <c r="B239" s="12">
        <v>792.72470999999996</v>
      </c>
      <c r="C239" s="12">
        <v>747.51993000000004</v>
      </c>
      <c r="E239" s="240">
        <v>1000</v>
      </c>
      <c r="F239" s="240">
        <v>1000</v>
      </c>
      <c r="H239" s="240">
        <v>1000</v>
      </c>
      <c r="I239" s="240">
        <v>1000</v>
      </c>
      <c r="K239" s="240">
        <v>1000</v>
      </c>
      <c r="L239" s="240">
        <v>1000</v>
      </c>
      <c r="N239" s="240">
        <v>1000</v>
      </c>
      <c r="O239" s="240">
        <v>1000</v>
      </c>
      <c r="Q239" s="239"/>
      <c r="R239" s="239"/>
    </row>
    <row r="240" spans="1:18">
      <c r="A240" s="11">
        <v>109</v>
      </c>
      <c r="B240" s="12">
        <v>878.92804000000001</v>
      </c>
      <c r="C240" s="12">
        <v>850.71915000000001</v>
      </c>
      <c r="E240" s="240">
        <v>1000</v>
      </c>
      <c r="F240" s="240">
        <v>1000</v>
      </c>
      <c r="H240" s="240">
        <v>1000</v>
      </c>
      <c r="I240" s="240">
        <v>1000</v>
      </c>
      <c r="K240" s="240">
        <v>1000</v>
      </c>
      <c r="L240" s="240">
        <v>1000</v>
      </c>
      <c r="N240" s="240">
        <v>1000</v>
      </c>
      <c r="O240" s="240">
        <v>1000</v>
      </c>
      <c r="Q240" s="239"/>
      <c r="R240" s="239"/>
    </row>
    <row r="241" spans="1:18">
      <c r="A241" s="11">
        <v>110</v>
      </c>
      <c r="B241" s="12">
        <v>1000</v>
      </c>
      <c r="C241" s="12">
        <v>1000</v>
      </c>
      <c r="E241" s="240">
        <v>1000</v>
      </c>
      <c r="F241" s="240">
        <v>1000</v>
      </c>
      <c r="H241" s="240">
        <v>1000</v>
      </c>
      <c r="I241" s="240">
        <v>1000</v>
      </c>
      <c r="K241" s="240">
        <v>1000</v>
      </c>
      <c r="L241" s="240">
        <v>1000</v>
      </c>
      <c r="N241" s="240">
        <v>1000</v>
      </c>
      <c r="O241" s="240">
        <v>1000</v>
      </c>
      <c r="Q241" s="239"/>
      <c r="R241" s="239"/>
    </row>
  </sheetData>
  <mergeCells count="1">
    <mergeCell ref="M19:P19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G309"/>
  <sheetViews>
    <sheetView zoomScale="90" zoomScaleNormal="90" workbookViewId="0">
      <selection activeCell="H9" sqref="H9"/>
    </sheetView>
  </sheetViews>
  <sheetFormatPr defaultRowHeight="14.4"/>
  <cols>
    <col min="2" max="2" width="14.5546875" customWidth="1"/>
    <col min="3" max="3" width="11.33203125" bestFit="1" customWidth="1"/>
    <col min="4" max="4" width="15.6640625" customWidth="1"/>
    <col min="5" max="5" width="17.6640625" customWidth="1"/>
    <col min="6" max="6" width="15.33203125" customWidth="1"/>
    <col min="7" max="7" width="15.88671875" bestFit="1" customWidth="1"/>
    <col min="8" max="8" width="13.5546875" customWidth="1"/>
    <col min="9" max="9" width="15.33203125" bestFit="1" customWidth="1"/>
    <col min="10" max="10" width="10.109375" customWidth="1"/>
    <col min="13" max="13" width="16" customWidth="1"/>
    <col min="14" max="14" width="13.33203125" bestFit="1" customWidth="1"/>
    <col min="16" max="16" width="16.33203125" customWidth="1"/>
    <col min="17" max="17" width="15.44140625" customWidth="1"/>
    <col min="23" max="23" width="14.6640625" bestFit="1" customWidth="1"/>
    <col min="24" max="24" width="12.88671875" customWidth="1"/>
    <col min="27" max="27" width="9.109375" customWidth="1"/>
    <col min="28" max="28" width="11.88671875" bestFit="1" customWidth="1"/>
  </cols>
  <sheetData>
    <row r="1" spans="1:33">
      <c r="B1" s="13" t="s">
        <v>61</v>
      </c>
      <c r="E1" s="189">
        <f ca="1">ROUND(E5,2)*12</f>
        <v>202.92000000000002</v>
      </c>
      <c r="M1" s="13" t="s">
        <v>387</v>
      </c>
      <c r="N1" s="13"/>
      <c r="O1" s="13"/>
      <c r="P1" s="13"/>
    </row>
    <row r="2" spans="1:33">
      <c r="B2" s="13" t="s">
        <v>408</v>
      </c>
      <c r="C2" s="13"/>
      <c r="D2" s="13"/>
      <c r="E2" s="14">
        <f ca="1">SUM(calc!K16:K94)</f>
        <v>16.626696242437614</v>
      </c>
      <c r="F2" s="207">
        <f ca="1">E2</f>
        <v>16.626696242437614</v>
      </c>
      <c r="G2">
        <f ca="1">$F$2-(1/4)</f>
        <v>16.376696242437614</v>
      </c>
      <c r="H2">
        <f ca="1">$F$2-(3/8)</f>
        <v>16.251696242437614</v>
      </c>
      <c r="I2">
        <f ca="1">$F$2-(11/24)</f>
        <v>16.168362909104282</v>
      </c>
      <c r="M2" s="13" t="s">
        <v>62</v>
      </c>
      <c r="N2" s="13"/>
      <c r="O2" s="13"/>
      <c r="P2" s="14">
        <f ca="1">SUM(AB16:AB94)-11/24</f>
        <v>11.399529566785402</v>
      </c>
      <c r="Q2" s="191">
        <f ca="1">SUM(AB16:AB94)</f>
        <v>11.857862900118736</v>
      </c>
    </row>
    <row r="3" spans="1:33">
      <c r="B3" s="13" t="s">
        <v>409</v>
      </c>
      <c r="C3" s="13"/>
      <c r="D3" s="13"/>
      <c r="E3" s="14">
        <f ca="1">E2-(ann-1)/(2*ann)</f>
        <v>16.168362909104282</v>
      </c>
      <c r="F3">
        <f ca="1">F2*((1+gamma)/(1-betta))</f>
        <v>17.386291502244408</v>
      </c>
      <c r="G3">
        <f ca="1">G2*((1+gamma)/(1-betta))</f>
        <v>17.124870182447456</v>
      </c>
      <c r="H3">
        <f ca="1">H2*((1+gamma)/(1-betta))</f>
        <v>16.994159522548976</v>
      </c>
      <c r="I3">
        <f ca="1">I2*((1+gamma)/(1-betta))</f>
        <v>16.90701908261666</v>
      </c>
      <c r="M3" s="13" t="s">
        <v>63</v>
      </c>
      <c r="N3" s="13"/>
      <c r="O3" s="13"/>
      <c r="P3" s="14">
        <f ca="1">P2*((1+gamma)/(1-betta))</f>
        <v>11.920320257653771</v>
      </c>
      <c r="Q3" s="189">
        <f ca="1">P3*12</f>
        <v>143.04384309184525</v>
      </c>
    </row>
    <row r="4" spans="1:33">
      <c r="B4" s="13" t="s">
        <v>406</v>
      </c>
      <c r="C4" s="13"/>
      <c r="D4" s="13"/>
      <c r="E4" s="14">
        <f ca="1">E3*VLOOKUP(ROUNDDOWN(x-x0,0),calc2!A4:J34,10,0)</f>
        <v>16.168362909104282</v>
      </c>
      <c r="F4" s="141">
        <f ca="1">Input!$B$16/F3</f>
        <v>649937.33704173053</v>
      </c>
      <c r="G4" s="141">
        <f ca="1">Input!$B$16/G3</f>
        <v>659859.01671723067</v>
      </c>
      <c r="H4" s="141">
        <f ca="1">Input!$B$16/H3</f>
        <v>664934.32552556728</v>
      </c>
      <c r="I4" s="141">
        <f ca="1">Input!$B$16/I3</f>
        <v>668361.46246610407</v>
      </c>
      <c r="J4" s="76"/>
      <c r="M4" s="13" t="s">
        <v>60</v>
      </c>
      <c r="N4" s="13"/>
      <c r="O4" s="13"/>
      <c r="P4" s="15">
        <f ca="1">P8/P3</f>
        <v>810045.26651036064</v>
      </c>
    </row>
    <row r="5" spans="1:33">
      <c r="B5" s="13" t="s">
        <v>63</v>
      </c>
      <c r="C5" s="13"/>
      <c r="D5" s="13"/>
      <c r="E5" s="14">
        <f ca="1">E4*((1+gamma)/(1-betta))</f>
        <v>16.90701908261666</v>
      </c>
      <c r="F5" s="23">
        <f ca="1">ROUND(E7*1.05,0)</f>
        <v>58482</v>
      </c>
      <c r="G5" s="23">
        <f ca="1">ROUND(F5*1.05,0)</f>
        <v>61406</v>
      </c>
      <c r="M5" s="13" t="s">
        <v>64</v>
      </c>
      <c r="N5" s="13"/>
      <c r="O5" s="13"/>
      <c r="P5" s="15">
        <f ca="1">ROUND(P4/12,0)</f>
        <v>67504</v>
      </c>
    </row>
    <row r="6" spans="1:33">
      <c r="B6" s="13" t="s">
        <v>60</v>
      </c>
      <c r="C6" s="13"/>
      <c r="D6" s="13"/>
      <c r="E6" s="15">
        <f ca="1">Input!$B$16/E5</f>
        <v>668361.46246610407</v>
      </c>
      <c r="F6" s="23">
        <f ca="1">IF(AND(end=3,(x-x0)&gt;1),0,E7*ann)</f>
        <v>668364</v>
      </c>
      <c r="G6" s="23">
        <f ca="1">IF(AND(end=3,(x-x0)&gt;2),0,F5*ann)</f>
        <v>701784</v>
      </c>
      <c r="H6" s="23">
        <f ca="1">IF(AND(end=3,(x-x0)&gt;3),0,G5*IF(freq=1,ann,1))</f>
        <v>61406</v>
      </c>
      <c r="I6" s="23">
        <f ca="1">SUM(F6:H6)</f>
        <v>1431554</v>
      </c>
      <c r="M6" s="13" t="s">
        <v>67</v>
      </c>
      <c r="N6" s="13"/>
      <c r="O6" s="13"/>
      <c r="P6" s="15">
        <f ca="1">P4*P2</f>
        <v>9234134.9660194162</v>
      </c>
    </row>
    <row r="7" spans="1:33">
      <c r="B7" s="13" t="s">
        <v>64</v>
      </c>
      <c r="C7" s="13"/>
      <c r="D7" s="13"/>
      <c r="E7" s="15">
        <f ca="1">ROUND(E6/(IF(freq=3,4,IF(freq=4,12,freq)))*calc2!E1,0)</f>
        <v>55697</v>
      </c>
      <c r="I7" s="23">
        <f>Input!B16*betta</f>
        <v>169500</v>
      </c>
      <c r="M7" s="13" t="s">
        <v>388</v>
      </c>
      <c r="N7" s="13"/>
      <c r="O7" s="13"/>
      <c r="P7" s="15">
        <f>ROUND(min_pen*1.07^2,0)</f>
        <v>40754</v>
      </c>
    </row>
    <row r="8" spans="1:33">
      <c r="B8" s="13" t="s">
        <v>67</v>
      </c>
      <c r="C8" s="13"/>
      <c r="D8" s="13"/>
      <c r="E8" s="15">
        <f ca="1">E6*E2</f>
        <v>11112643.016575281</v>
      </c>
      <c r="I8" s="23">
        <f ca="1">I6*gamma</f>
        <v>42946.619999999995</v>
      </c>
      <c r="M8" s="13" t="s">
        <v>389</v>
      </c>
      <c r="N8" s="13"/>
      <c r="O8" s="13"/>
      <c r="P8" s="15">
        <f ca="1">ROUND(Input!$B$16-SUM(I6:I8),0)</f>
        <v>9655999</v>
      </c>
      <c r="Q8" s="157">
        <f ca="1">P8-INDEX('График Выплат'!$I$8:$I$47,MATCH(24,'График Выплат'!$D$8:$D$47,0))</f>
        <v>24316</v>
      </c>
    </row>
    <row r="9" spans="1:33">
      <c r="B9" s="13" t="s">
        <v>75</v>
      </c>
      <c r="C9" s="13"/>
      <c r="D9" s="13"/>
      <c r="E9" s="15">
        <f ca="1">ROUNDUP(E5*min_pen*12,0)</f>
        <v>7221868</v>
      </c>
      <c r="F9" s="189">
        <f ca="1">E2*12</f>
        <v>199.52035490925135</v>
      </c>
      <c r="I9" s="23"/>
      <c r="J9" s="23"/>
      <c r="M9" s="13" t="s">
        <v>75</v>
      </c>
      <c r="N9" s="13"/>
      <c r="O9" s="13"/>
      <c r="P9" s="15">
        <f ca="1">ROUNDUP(P3*P7*12,0)</f>
        <v>5829609</v>
      </c>
    </row>
    <row r="10" spans="1:33">
      <c r="B10" s="13"/>
      <c r="C10" s="13"/>
      <c r="D10" s="13"/>
      <c r="E10" s="22">
        <f ca="1">IF(end=1,0,IF(E9-Input!B16&lt;0,0,E9-Input!B16))</f>
        <v>0</v>
      </c>
      <c r="F10" s="138"/>
      <c r="I10" s="23"/>
      <c r="J10" s="23"/>
      <c r="P10" s="158">
        <f ca="1">P8-P9</f>
        <v>3826390</v>
      </c>
    </row>
    <row r="11" spans="1:33">
      <c r="B11" s="13" t="s">
        <v>302</v>
      </c>
      <c r="C11" s="13"/>
      <c r="D11" s="13"/>
      <c r="E11" s="42">
        <v>0.06</v>
      </c>
      <c r="G11" s="206"/>
      <c r="I11" s="23"/>
      <c r="J11" s="23"/>
    </row>
    <row r="12" spans="1:33">
      <c r="B12" s="13"/>
      <c r="C12" s="13"/>
      <c r="D12" s="13"/>
      <c r="E12" s="22"/>
      <c r="H12" s="190">
        <f>G17*H17*I17</f>
        <v>0.99082568807339455</v>
      </c>
      <c r="I12" s="23"/>
      <c r="J12" s="23"/>
      <c r="M12" s="44"/>
      <c r="N12" s="141"/>
    </row>
    <row r="13" spans="1:33">
      <c r="B13" s="10">
        <f>MAX(B15:B94)</f>
        <v>65273</v>
      </c>
      <c r="C13">
        <f>ROUND(YEARFRAC(VALUE(d_birth),B15),1)</f>
        <v>58.8</v>
      </c>
      <c r="H13" s="190">
        <f>G18*H18*I18</f>
        <v>0.98173554414611564</v>
      </c>
      <c r="J13" s="216">
        <f>SUM(J16:J94)</f>
        <v>53</v>
      </c>
      <c r="M13" s="44"/>
    </row>
    <row r="14" spans="1:33" s="16" customFormat="1" ht="20.399999999999999">
      <c r="B14" s="17" t="s">
        <v>66</v>
      </c>
      <c r="C14" s="16" t="s">
        <v>55</v>
      </c>
      <c r="D14" s="16" t="s">
        <v>56</v>
      </c>
      <c r="E14" s="16" t="s">
        <v>57</v>
      </c>
      <c r="F14" s="16" t="s">
        <v>58</v>
      </c>
      <c r="G14" s="16" t="s">
        <v>65</v>
      </c>
      <c r="H14" s="16" t="s">
        <v>46</v>
      </c>
      <c r="I14" s="16" t="s">
        <v>31</v>
      </c>
      <c r="K14" s="16" t="s">
        <v>59</v>
      </c>
      <c r="M14" s="16" t="s">
        <v>43</v>
      </c>
      <c r="N14" s="16" t="s">
        <v>44</v>
      </c>
      <c r="O14" s="16" t="s">
        <v>301</v>
      </c>
      <c r="P14" s="16" t="s">
        <v>45</v>
      </c>
      <c r="Q14" s="16" t="s">
        <v>46</v>
      </c>
      <c r="R14" s="258" t="s">
        <v>303</v>
      </c>
      <c r="S14" s="259"/>
      <c r="T14" s="260"/>
      <c r="V14" s="16" t="s">
        <v>55</v>
      </c>
      <c r="W14" s="16" t="s">
        <v>56</v>
      </c>
      <c r="X14" s="16" t="s">
        <v>57</v>
      </c>
      <c r="Y14" s="16" t="s">
        <v>58</v>
      </c>
      <c r="Z14" s="16" t="s">
        <v>46</v>
      </c>
      <c r="AA14" s="16" t="s">
        <v>31</v>
      </c>
      <c r="AB14" s="16" t="s">
        <v>59</v>
      </c>
    </row>
    <row r="15" spans="1:33" s="4" customFormat="1" ht="10.199999999999999">
      <c r="B15" s="5">
        <f>VALUE(d_begin)</f>
        <v>46280</v>
      </c>
      <c r="C15" s="213">
        <f>(B15&gt;0)*ROUNDDOWN(YEARFRAC(VALUE(d_birth),B15),0)</f>
        <v>58</v>
      </c>
      <c r="D15" s="4">
        <f t="shared" ref="D15:D46" ca="1" si="0">(B15&gt;0)*VLOOKUP(C15,mort,pol+1,0)/1000</f>
        <v>4.1380250521486875E-2</v>
      </c>
      <c r="E15" s="4">
        <f ca="1">(B15&gt;0)*(1-D15)</f>
        <v>0.95861974947851314</v>
      </c>
      <c r="X15" s="4">
        <v>1</v>
      </c>
      <c r="Y15" s="4">
        <v>1</v>
      </c>
    </row>
    <row r="16" spans="1:33" s="4" customFormat="1" ht="10.199999999999999">
      <c r="A16" s="4">
        <v>0</v>
      </c>
      <c r="B16" s="9">
        <f>B15</f>
        <v>46280</v>
      </c>
      <c r="C16" s="4">
        <f>(B16&gt;0)*ROUNDDOWN(YEARFRAC(VALUE(d_birth),B16),0)</f>
        <v>58</v>
      </c>
      <c r="D16" s="4">
        <f t="shared" ca="1" si="0"/>
        <v>4.1380250521486875E-2</v>
      </c>
      <c r="E16" s="4">
        <f ca="1">(B16&gt;0)*(1-D16)</f>
        <v>0.95861974947851314</v>
      </c>
      <c r="F16" s="4">
        <f>IF(A16=0,1,F15*E15)*(B16&gt;0)</f>
        <v>1</v>
      </c>
      <c r="G16" s="4">
        <f>IF(A16&lt;g_period,1,F16)*(B16&gt;0)</f>
        <v>1</v>
      </c>
      <c r="H16" s="4">
        <f t="shared" ref="H16:H47" si="1">(1+i)^(-A16)*(B16&gt;0)</f>
        <v>1</v>
      </c>
      <c r="I16" s="4">
        <f t="shared" ref="I16:I47" si="2">IF(A16=0,1,IF(YEAR(B16)=YEAR($B$15),1,1+index)*I15*(B16&gt;0))</f>
        <v>1</v>
      </c>
      <c r="J16" s="211">
        <f>IF(AND(B17=0,end=1),YEARFRAC(d_last,d_end,4),1)*(B16&gt;0)</f>
        <v>1</v>
      </c>
      <c r="K16" s="4">
        <f>I16*H16*G16*J16</f>
        <v>1</v>
      </c>
      <c r="M16" s="7">
        <f ca="1">SUM(K16:K76)*N16</f>
        <v>11112642.975572117</v>
      </c>
      <c r="N16" s="6">
        <f t="shared" ref="N16:N47" ca="1" si="3">ROUND($E$6*I16*J16,2)</f>
        <v>668361.46</v>
      </c>
      <c r="O16" s="4">
        <v>1</v>
      </c>
      <c r="P16" s="6">
        <f t="shared" ref="P16:P47" ca="1" si="4">(M16-N16)*($E$11-i)</f>
        <v>-313328.44546716346</v>
      </c>
      <c r="Q16" s="4">
        <f t="shared" ref="Q16:Q47" si="5">(1+$E$11)^(-A16)*(B16&gt;0)</f>
        <v>1</v>
      </c>
      <c r="R16" s="7">
        <f t="shared" ref="R16:R47" ca="1" si="6">Q16*G16*P16</f>
        <v>-313328.44546716346</v>
      </c>
      <c r="S16" s="7">
        <f ca="1">SUM($R$16:R16)</f>
        <v>-313328.44546716346</v>
      </c>
      <c r="T16" s="7">
        <f ca="1">IF(S16-$O$6&lt;0,S16-$O$6,0)</f>
        <v>-313328.44546716346</v>
      </c>
      <c r="U16" s="7"/>
      <c r="V16" s="7">
        <f t="shared" ref="V16:V47" si="7">C18</f>
        <v>60</v>
      </c>
      <c r="W16" s="159">
        <f t="shared" ref="W16:W47" ca="1" si="8">D18</f>
        <v>4.6118401650726032E-2</v>
      </c>
      <c r="X16" s="160">
        <f ca="1">(V16&gt;0)*(1-W16)</f>
        <v>0.953881598349274</v>
      </c>
      <c r="Y16" s="4">
        <f>(Y15*X15)*(V16&gt;0)</f>
        <v>1</v>
      </c>
      <c r="Z16" s="4">
        <f t="shared" ref="Z16:Z47" si="9">H16</f>
        <v>1</v>
      </c>
      <c r="AA16" s="4">
        <f t="shared" ref="AA16:AA47" si="10">I16</f>
        <v>1</v>
      </c>
      <c r="AB16" s="160">
        <f>Z16*Y16*AA16</f>
        <v>1</v>
      </c>
      <c r="AC16" s="8">
        <f ca="1">IF(A16=0,$H$2*$Y$11*(1-H7)*E7,0)</f>
        <v>0</v>
      </c>
      <c r="AD16" s="8">
        <f>IF($AM$5=1,AF16*Z16/Y16,0)</f>
        <v>0</v>
      </c>
      <c r="AE16" s="8">
        <f t="shared" ref="AE16:AE47" ca="1" si="11">(AF16-AD16)*$D$9</f>
        <v>0</v>
      </c>
      <c r="AF16" s="8">
        <f ca="1">$H$2*(1-$H$7)*$Y$11-AA16-AB16-AC16</f>
        <v>-2</v>
      </c>
      <c r="AG16" s="8">
        <f ca="1">AF16+AE16-AD16</f>
        <v>-2</v>
      </c>
    </row>
    <row r="17" spans="1:33" s="4" customFormat="1" ht="10.199999999999999">
      <c r="A17" s="4">
        <f>A16+1</f>
        <v>1</v>
      </c>
      <c r="B17" s="9">
        <f>IF(d_last&lt;EDATE(d_begin,12*A17),0,IF(AND(DAY(d_begin)=29,MONTH(d_begin)=2),EOMONTH($B$16,12*A17),EDATE($B$16,12*A17)))</f>
        <v>46645</v>
      </c>
      <c r="C17" s="4">
        <f t="shared" ref="C17:C46" si="12">(B17&gt;0)*ROUNDDOWN(YEARFRAC(VALUE(d_birth),B17),0)</f>
        <v>59</v>
      </c>
      <c r="D17" s="4">
        <f t="shared" ca="1" si="0"/>
        <v>4.3685134931205113E-2</v>
      </c>
      <c r="E17" s="4">
        <f ca="1">(B17&gt;0)*(1-D17)</f>
        <v>0.95631486506879493</v>
      </c>
      <c r="F17" s="4">
        <f ca="1">IF(A17=0,1,F16*E16)*(B17&gt;0)</f>
        <v>0.95861974947851314</v>
      </c>
      <c r="G17" s="4">
        <f t="shared" ref="G17:G47" si="13">IF(A17&lt;g_period,1,F17)*(B17&gt;0)</f>
        <v>1</v>
      </c>
      <c r="H17" s="4">
        <f t="shared" si="1"/>
        <v>0.9174311926605504</v>
      </c>
      <c r="I17" s="4">
        <f t="shared" si="2"/>
        <v>1.08</v>
      </c>
      <c r="J17" s="4">
        <f t="shared" ref="J17:J47" si="14">IF(AND(B18=0,end=1),YEARFRAC(d_last,d_end,4),1)*(B17&gt;0)</f>
        <v>1</v>
      </c>
      <c r="K17" s="4">
        <f>I17*H17*G17*J17</f>
        <v>0.99082568807339455</v>
      </c>
      <c r="M17" s="6">
        <f t="shared" ref="M17:M48" ca="1" si="15">IF(J17=0,0,(M16-N16)*(1+i)/O17)</f>
        <v>11384266.851973606</v>
      </c>
      <c r="N17" s="6">
        <f t="shared" ca="1" si="3"/>
        <v>721830.38</v>
      </c>
      <c r="O17" s="4">
        <f t="shared" ref="O17:O48" si="16">IF(G16=1,G17,IF(G17=1,1,E16))</f>
        <v>1</v>
      </c>
      <c r="P17" s="6">
        <f t="shared" ca="1" si="4"/>
        <v>-319873.09415920818</v>
      </c>
      <c r="Q17" s="4">
        <f t="shared" si="5"/>
        <v>0.94339622641509424</v>
      </c>
      <c r="R17" s="7">
        <f t="shared" ca="1" si="6"/>
        <v>-301767.06996151712</v>
      </c>
      <c r="S17" s="7">
        <f ca="1">SUM($R$16:R17)</f>
        <v>-615095.51542868058</v>
      </c>
      <c r="T17" s="7">
        <f t="shared" ref="T17:T65" ca="1" si="17">IF(S17-$O$6&lt;0,S17-$O$6,0)</f>
        <v>-615095.51542868058</v>
      </c>
      <c r="U17" s="7"/>
      <c r="V17" s="7">
        <f t="shared" si="7"/>
        <v>61</v>
      </c>
      <c r="W17" s="159">
        <f t="shared" ca="1" si="8"/>
        <v>4.8687201588529384E-2</v>
      </c>
      <c r="X17" s="160">
        <f t="shared" ref="X17:X80" ca="1" si="18">(V17&gt;0)*(1-W17)</f>
        <v>0.95131279841147065</v>
      </c>
      <c r="Y17" s="4">
        <f t="shared" ref="Y17:Y80" ca="1" si="19">(Y16*X16)*(V17&gt;0)</f>
        <v>0.953881598349274</v>
      </c>
      <c r="Z17" s="4">
        <f t="shared" si="9"/>
        <v>0.9174311926605504</v>
      </c>
      <c r="AA17" s="4">
        <f t="shared" si="10"/>
        <v>1.08</v>
      </c>
      <c r="AB17" s="160">
        <f t="shared" ref="AB17:AB80" ca="1" si="20">Z17*Y17*AA17</f>
        <v>0.94513039102496876</v>
      </c>
      <c r="AC17" s="8">
        <f>IF(A17=0,$H$2*(1-H8)*D12,0)</f>
        <v>0</v>
      </c>
      <c r="AD17" s="8">
        <f t="shared" ref="AD17:AD80" si="21">IF($AM$5=1,AF17*Z17/Y17,0)</f>
        <v>0</v>
      </c>
      <c r="AE17" s="8">
        <f t="shared" ca="1" si="11"/>
        <v>0</v>
      </c>
      <c r="AF17" s="8">
        <f ca="1">AG16-AA17-AB17-AC17</f>
        <v>-4.0251303910249687</v>
      </c>
      <c r="AG17" s="8">
        <f ca="1">AF17+AE17</f>
        <v>-4.0251303910249687</v>
      </c>
    </row>
    <row r="18" spans="1:33" s="4" customFormat="1" ht="10.199999999999999">
      <c r="A18" s="4">
        <f t="shared" ref="A18:A81" si="22">A17+1</f>
        <v>2</v>
      </c>
      <c r="B18" s="9">
        <f>IF(d_last&lt;EDATE(d_begin,12*A18),0,IF(AND(DAY(d_begin)=29,MONTH(d_begin)=2),EOMONTH($B$16,12*A18),EDATE($B$16,12*A18)))</f>
        <v>47011</v>
      </c>
      <c r="C18" s="4">
        <f t="shared" si="12"/>
        <v>60</v>
      </c>
      <c r="D18" s="4">
        <f t="shared" ca="1" si="0"/>
        <v>4.6118401650726032E-2</v>
      </c>
      <c r="E18" s="4">
        <f t="shared" ref="E18:E76" ca="1" si="23">(B18&gt;0)*(1-D18)</f>
        <v>0.953881598349274</v>
      </c>
      <c r="F18" s="4">
        <f ca="1">IF(A18=0,1,F17*E17)*(B18&gt;0)</f>
        <v>0.91674231637482628</v>
      </c>
      <c r="G18" s="4">
        <f t="shared" si="13"/>
        <v>1</v>
      </c>
      <c r="H18" s="4">
        <f t="shared" si="1"/>
        <v>0.84167999326655996</v>
      </c>
      <c r="I18" s="4">
        <f t="shared" si="2"/>
        <v>1.1664000000000001</v>
      </c>
      <c r="J18" s="4">
        <f t="shared" si="14"/>
        <v>1</v>
      </c>
      <c r="K18" s="4">
        <f t="shared" ref="K18:K80" si="24">I18*H18*G18*J18</f>
        <v>0.98173554414611564</v>
      </c>
      <c r="M18" s="6">
        <f t="shared" ca="1" si="15"/>
        <v>11622055.75445123</v>
      </c>
      <c r="N18" s="6">
        <f t="shared" ca="1" si="3"/>
        <v>779576.81</v>
      </c>
      <c r="O18" s="4">
        <f t="shared" si="16"/>
        <v>1</v>
      </c>
      <c r="P18" s="6">
        <f t="shared" ca="1" si="4"/>
        <v>-325274.3683335369</v>
      </c>
      <c r="Q18" s="4">
        <f t="shared" si="5"/>
        <v>0.88999644001423983</v>
      </c>
      <c r="R18" s="7">
        <f t="shared" ca="1" si="6"/>
        <v>-289493.02984472841</v>
      </c>
      <c r="S18" s="7">
        <f ca="1">SUM($R$16:R18)</f>
        <v>-904588.54527340899</v>
      </c>
      <c r="T18" s="7">
        <f t="shared" ca="1" si="17"/>
        <v>-904588.54527340899</v>
      </c>
      <c r="U18" s="7"/>
      <c r="V18" s="7">
        <f t="shared" si="7"/>
        <v>62</v>
      </c>
      <c r="W18" s="159">
        <f t="shared" ca="1" si="8"/>
        <v>5.1399083959467191E-2</v>
      </c>
      <c r="X18" s="160">
        <f t="shared" ca="1" si="18"/>
        <v>0.94860091604053276</v>
      </c>
      <c r="Y18" s="4">
        <f t="shared" ca="1" si="19"/>
        <v>0.90743977267885434</v>
      </c>
      <c r="Z18" s="4">
        <f t="shared" si="9"/>
        <v>0.84167999326655996</v>
      </c>
      <c r="AA18" s="4">
        <f t="shared" si="10"/>
        <v>1.1664000000000001</v>
      </c>
      <c r="AB18" s="160">
        <f t="shared" ca="1" si="20"/>
        <v>0.89086587901070258</v>
      </c>
      <c r="AC18" s="8">
        <f>IF(A18=0,$H$2*(1-H9)*#REF!,0)</f>
        <v>0</v>
      </c>
      <c r="AD18" s="8">
        <f t="shared" si="21"/>
        <v>0</v>
      </c>
      <c r="AE18" s="8">
        <f t="shared" ca="1" si="11"/>
        <v>0</v>
      </c>
      <c r="AF18" s="8">
        <f ca="1">AG17-AA18-AB18-AC18</f>
        <v>-6.0823962700356713</v>
      </c>
      <c r="AG18" s="8">
        <f ca="1">AF18+AE18</f>
        <v>-6.0823962700356713</v>
      </c>
    </row>
    <row r="19" spans="1:33" s="4" customFormat="1" ht="10.199999999999999">
      <c r="A19" s="4">
        <f t="shared" si="22"/>
        <v>3</v>
      </c>
      <c r="B19" s="9">
        <f t="shared" ref="B19:B48" si="25">IF(d_last&lt;EDATE(d_begin,12*A19),0,IF(AND(DAY(d_begin)=29,MONTH(d_begin)=2),EOMONTH($B$16,12*A19),EDATE($B$16,12*A19)))</f>
        <v>47376</v>
      </c>
      <c r="C19" s="4">
        <f t="shared" si="12"/>
        <v>61</v>
      </c>
      <c r="D19" s="4">
        <f t="shared" ca="1" si="0"/>
        <v>4.8687201588529384E-2</v>
      </c>
      <c r="E19" s="4">
        <f t="shared" ca="1" si="23"/>
        <v>0.95131279841147065</v>
      </c>
      <c r="F19" s="4">
        <f t="shared" ref="F19:F76" ca="1" si="26">IF(A19=0,1,F18*E18)*(B19&gt;0)</f>
        <v>0.87446362601803507</v>
      </c>
      <c r="G19" s="4">
        <f t="shared" si="13"/>
        <v>1</v>
      </c>
      <c r="H19" s="4">
        <f t="shared" si="1"/>
        <v>0.77218348006106419</v>
      </c>
      <c r="I19" s="4">
        <f t="shared" si="2"/>
        <v>1.2597120000000002</v>
      </c>
      <c r="J19" s="4">
        <f t="shared" si="14"/>
        <v>1</v>
      </c>
      <c r="K19" s="4">
        <f t="shared" si="24"/>
        <v>0.97272879603468343</v>
      </c>
      <c r="M19" s="6">
        <f t="shared" ca="1" si="15"/>
        <v>11818302.049451841</v>
      </c>
      <c r="N19" s="6">
        <f t="shared" ca="1" si="3"/>
        <v>841942.95</v>
      </c>
      <c r="O19" s="4">
        <f t="shared" si="16"/>
        <v>1</v>
      </c>
      <c r="P19" s="6">
        <f t="shared" ca="1" si="4"/>
        <v>-329290.77298355522</v>
      </c>
      <c r="Q19" s="4">
        <f t="shared" si="5"/>
        <v>0.8396192830323016</v>
      </c>
      <c r="R19" s="7">
        <f t="shared" ca="1" si="6"/>
        <v>-276478.88272160501</v>
      </c>
      <c r="S19" s="7">
        <f ca="1">SUM($R$16:R19)</f>
        <v>-1181067.427995014</v>
      </c>
      <c r="T19" s="7">
        <f t="shared" ca="1" si="17"/>
        <v>-1181067.427995014</v>
      </c>
      <c r="U19" s="7"/>
      <c r="V19" s="7">
        <f t="shared" si="7"/>
        <v>63</v>
      </c>
      <c r="W19" s="159">
        <f t="shared" ca="1" si="8"/>
        <v>5.3814516296230637E-2</v>
      </c>
      <c r="X19" s="160">
        <f t="shared" ca="1" si="18"/>
        <v>0.94618548370376931</v>
      </c>
      <c r="Y19" s="4">
        <f t="shared" ca="1" si="19"/>
        <v>0.860798199614774</v>
      </c>
      <c r="Z19" s="4">
        <f t="shared" si="9"/>
        <v>0.77218348006106419</v>
      </c>
      <c r="AA19" s="4">
        <f t="shared" si="10"/>
        <v>1.2597120000000002</v>
      </c>
      <c r="AB19" s="160">
        <f t="shared" ca="1" si="20"/>
        <v>0.8373231963401021</v>
      </c>
      <c r="AC19" s="8">
        <f>IF(A19=0,$H$2*(1-H10)*C13,0)</f>
        <v>0</v>
      </c>
      <c r="AD19" s="8">
        <f t="shared" si="21"/>
        <v>0</v>
      </c>
      <c r="AE19" s="8">
        <f t="shared" ca="1" si="11"/>
        <v>0</v>
      </c>
      <c r="AF19" s="8">
        <f t="shared" ref="AF19:AF71" ca="1" si="27">AG18-AA19-AB19-AC19</f>
        <v>-8.1794314663757746</v>
      </c>
      <c r="AG19" s="8">
        <f t="shared" ref="AG19:AG71" ca="1" si="28">AF19+AE19</f>
        <v>-8.1794314663757746</v>
      </c>
    </row>
    <row r="20" spans="1:33" s="4" customFormat="1" ht="10.199999999999999">
      <c r="A20" s="4">
        <f t="shared" si="22"/>
        <v>4</v>
      </c>
      <c r="B20" s="9">
        <f t="shared" si="25"/>
        <v>47741</v>
      </c>
      <c r="C20" s="4">
        <f t="shared" si="12"/>
        <v>62</v>
      </c>
      <c r="D20" s="4">
        <f t="shared" ca="1" si="0"/>
        <v>5.1399083959467191E-2</v>
      </c>
      <c r="E20" s="4">
        <f t="shared" ca="1" si="23"/>
        <v>0.94860091604053276</v>
      </c>
      <c r="F20" s="4">
        <f t="shared" ca="1" si="26"/>
        <v>0.83188843917625865</v>
      </c>
      <c r="G20" s="4">
        <f t="shared" si="13"/>
        <v>1</v>
      </c>
      <c r="H20" s="4">
        <f t="shared" si="1"/>
        <v>0.7084252110651964</v>
      </c>
      <c r="I20" s="4">
        <f t="shared" si="2"/>
        <v>1.3604889600000003</v>
      </c>
      <c r="J20" s="4">
        <f t="shared" si="14"/>
        <v>1</v>
      </c>
      <c r="K20" s="4">
        <f t="shared" si="24"/>
        <v>0.96380467863986974</v>
      </c>
      <c r="M20" s="6">
        <f t="shared" ca="1" si="15"/>
        <v>11964231.418402508</v>
      </c>
      <c r="N20" s="6">
        <f t="shared" ca="1" si="3"/>
        <v>909298.39</v>
      </c>
      <c r="O20" s="4">
        <f t="shared" si="16"/>
        <v>1</v>
      </c>
      <c r="P20" s="6">
        <f t="shared" ca="1" si="4"/>
        <v>-331647.99085207522</v>
      </c>
      <c r="Q20" s="4">
        <f t="shared" si="5"/>
        <v>0.79209366323802044</v>
      </c>
      <c r="R20" s="7">
        <f t="shared" ca="1" si="6"/>
        <v>-262696.27197954973</v>
      </c>
      <c r="S20" s="7">
        <f ca="1">SUM($R$16:R20)</f>
        <v>-1443763.6999745637</v>
      </c>
      <c r="T20" s="7">
        <f t="shared" ca="1" si="17"/>
        <v>-1443763.6999745637</v>
      </c>
      <c r="U20" s="7"/>
      <c r="V20" s="7">
        <f t="shared" si="7"/>
        <v>64</v>
      </c>
      <c r="W20" s="159">
        <f t="shared" ca="1" si="8"/>
        <v>5.6343458698233442E-2</v>
      </c>
      <c r="X20" s="160">
        <f t="shared" ca="1" si="18"/>
        <v>0.94365654130176657</v>
      </c>
      <c r="Y20" s="4">
        <f t="shared" ca="1" si="19"/>
        <v>0.81447476087383874</v>
      </c>
      <c r="Z20" s="4">
        <f t="shared" si="9"/>
        <v>0.7084252110651964</v>
      </c>
      <c r="AA20" s="4">
        <f t="shared" si="10"/>
        <v>1.3604889600000003</v>
      </c>
      <c r="AB20" s="160">
        <f t="shared" ca="1" si="20"/>
        <v>0.78499458516429499</v>
      </c>
      <c r="AC20" s="8">
        <f>IF(A20=0,$H$2*(1-H11)*D16,0)</f>
        <v>0</v>
      </c>
      <c r="AD20" s="8">
        <f t="shared" si="21"/>
        <v>0</v>
      </c>
      <c r="AE20" s="8">
        <f t="shared" ca="1" si="11"/>
        <v>0</v>
      </c>
      <c r="AF20" s="8">
        <f t="shared" ca="1" si="27"/>
        <v>-10.324915011540069</v>
      </c>
      <c r="AG20" s="8">
        <f t="shared" ca="1" si="28"/>
        <v>-10.324915011540069</v>
      </c>
    </row>
    <row r="21" spans="1:33" s="4" customFormat="1" ht="10.199999999999999">
      <c r="A21" s="4">
        <f t="shared" si="22"/>
        <v>5</v>
      </c>
      <c r="B21" s="9">
        <f t="shared" si="25"/>
        <v>48106</v>
      </c>
      <c r="C21" s="4">
        <f t="shared" si="12"/>
        <v>63</v>
      </c>
      <c r="D21" s="4">
        <f t="shared" ca="1" si="0"/>
        <v>5.3814516296230637E-2</v>
      </c>
      <c r="E21" s="4">
        <f t="shared" ca="1" si="23"/>
        <v>0.94618548370376931</v>
      </c>
      <c r="F21" s="4">
        <f t="shared" ca="1" si="26"/>
        <v>0.78913013544612798</v>
      </c>
      <c r="G21" s="4">
        <f t="shared" si="13"/>
        <v>1</v>
      </c>
      <c r="H21" s="4">
        <f t="shared" si="1"/>
        <v>0.64993138629834524</v>
      </c>
      <c r="I21" s="4">
        <f t="shared" si="2"/>
        <v>1.4693280768000003</v>
      </c>
      <c r="J21" s="4">
        <f t="shared" si="14"/>
        <v>1</v>
      </c>
      <c r="K21" s="4">
        <f t="shared" si="24"/>
        <v>0.95496243388170565</v>
      </c>
      <c r="M21" s="6">
        <f t="shared" ca="1" si="15"/>
        <v>12049877.000958733</v>
      </c>
      <c r="N21" s="6">
        <f t="shared" ca="1" si="3"/>
        <v>982042.26</v>
      </c>
      <c r="O21" s="4">
        <f t="shared" si="16"/>
        <v>1</v>
      </c>
      <c r="P21" s="6">
        <f t="shared" ca="1" si="4"/>
        <v>-332035.042228762</v>
      </c>
      <c r="Q21" s="4">
        <f t="shared" si="5"/>
        <v>0.74725817286605689</v>
      </c>
      <c r="R21" s="7">
        <f t="shared" ca="1" si="6"/>
        <v>-248115.89898336874</v>
      </c>
      <c r="S21" s="7">
        <f ca="1">SUM($R$16:R21)</f>
        <v>-1691879.5989579323</v>
      </c>
      <c r="T21" s="7">
        <f t="shared" ca="1" si="17"/>
        <v>-1691879.5989579323</v>
      </c>
      <c r="U21" s="7"/>
      <c r="V21" s="7">
        <f t="shared" si="7"/>
        <v>65</v>
      </c>
      <c r="W21" s="159">
        <f t="shared" ca="1" si="8"/>
        <v>5.8991245421672535E-2</v>
      </c>
      <c r="X21" s="160">
        <f t="shared" ca="1" si="18"/>
        <v>0.94100875457832744</v>
      </c>
      <c r="Y21" s="4">
        <f t="shared" ca="1" si="19"/>
        <v>0.7685844358237901</v>
      </c>
      <c r="Z21" s="4">
        <f t="shared" si="9"/>
        <v>0.64993138629834524</v>
      </c>
      <c r="AA21" s="4">
        <f t="shared" si="10"/>
        <v>1.4693280768000003</v>
      </c>
      <c r="AB21" s="160">
        <f t="shared" ca="1" si="20"/>
        <v>0.73396926347788427</v>
      </c>
      <c r="AC21" s="8">
        <f>IF(A21=0,$H$2*(1-H13)*D17,0)</f>
        <v>0</v>
      </c>
      <c r="AD21" s="8">
        <f t="shared" si="21"/>
        <v>0</v>
      </c>
      <c r="AE21" s="8">
        <f t="shared" ca="1" si="11"/>
        <v>0</v>
      </c>
      <c r="AF21" s="8">
        <f t="shared" ca="1" si="27"/>
        <v>-12.528212351817954</v>
      </c>
      <c r="AG21" s="8">
        <f t="shared" ca="1" si="28"/>
        <v>-12.528212351817954</v>
      </c>
    </row>
    <row r="22" spans="1:33" s="4" customFormat="1" ht="10.199999999999999">
      <c r="A22" s="4">
        <f t="shared" si="22"/>
        <v>6</v>
      </c>
      <c r="B22" s="9">
        <f t="shared" si="25"/>
        <v>48472</v>
      </c>
      <c r="C22" s="4">
        <f t="shared" si="12"/>
        <v>64</v>
      </c>
      <c r="D22" s="4">
        <f t="shared" ca="1" si="0"/>
        <v>5.6343458698233442E-2</v>
      </c>
      <c r="E22" s="4">
        <f t="shared" ca="1" si="23"/>
        <v>0.94365654130176657</v>
      </c>
      <c r="F22" s="4">
        <f t="shared" ca="1" si="26"/>
        <v>0.74666347891231555</v>
      </c>
      <c r="G22" s="4">
        <f t="shared" si="13"/>
        <v>1</v>
      </c>
      <c r="H22" s="4">
        <f t="shared" si="1"/>
        <v>0.5962673268792158</v>
      </c>
      <c r="I22" s="4">
        <f t="shared" si="2"/>
        <v>1.5868743229440005</v>
      </c>
      <c r="J22" s="4">
        <f t="shared" si="14"/>
        <v>1</v>
      </c>
      <c r="K22" s="4">
        <f t="shared" si="24"/>
        <v>0.94620131063508461</v>
      </c>
      <c r="M22" s="6">
        <f t="shared" ca="1" si="15"/>
        <v>12063939.86764502</v>
      </c>
      <c r="N22" s="6">
        <f t="shared" ca="1" si="3"/>
        <v>1060605.6399999999</v>
      </c>
      <c r="O22" s="4">
        <f t="shared" si="16"/>
        <v>1</v>
      </c>
      <c r="P22" s="6">
        <f t="shared" ca="1" si="4"/>
        <v>-330100.02682935057</v>
      </c>
      <c r="Q22" s="4">
        <f t="shared" si="5"/>
        <v>0.70496054043967626</v>
      </c>
      <c r="R22" s="7">
        <f t="shared" ca="1" si="6"/>
        <v>-232707.49331277062</v>
      </c>
      <c r="S22" s="7">
        <f ca="1">SUM($R$16:R22)</f>
        <v>-1924587.0922707031</v>
      </c>
      <c r="T22" s="7">
        <f t="shared" ca="1" si="17"/>
        <v>-1924587.0922707031</v>
      </c>
      <c r="U22" s="7"/>
      <c r="V22" s="7">
        <f t="shared" si="7"/>
        <v>66</v>
      </c>
      <c r="W22" s="159">
        <f t="shared" ca="1" si="8"/>
        <v>6.1763461399097781E-2</v>
      </c>
      <c r="X22" s="160">
        <f t="shared" ca="1" si="18"/>
        <v>0.93823653860090217</v>
      </c>
      <c r="Y22" s="4">
        <f t="shared" ca="1" si="19"/>
        <v>0.72324468274283116</v>
      </c>
      <c r="Z22" s="4">
        <f t="shared" si="9"/>
        <v>0.5962673268792158</v>
      </c>
      <c r="AA22" s="4">
        <f t="shared" si="10"/>
        <v>1.5868743229440005</v>
      </c>
      <c r="AB22" s="160">
        <f t="shared" ca="1" si="20"/>
        <v>0.68433506672112276</v>
      </c>
      <c r="AC22" s="8">
        <f t="shared" ref="AC22:AC53" si="29">IF(A22=0,$H$2*(1-H16)*D18,0)</f>
        <v>0</v>
      </c>
      <c r="AD22" s="8">
        <f t="shared" si="21"/>
        <v>0</v>
      </c>
      <c r="AE22" s="8">
        <f t="shared" ca="1" si="11"/>
        <v>0</v>
      </c>
      <c r="AF22" s="8">
        <f ca="1">AG21-AA22-AB22-AC22</f>
        <v>-14.799421741483076</v>
      </c>
      <c r="AG22" s="8">
        <f t="shared" ca="1" si="28"/>
        <v>-14.799421741483076</v>
      </c>
    </row>
    <row r="23" spans="1:33" s="4" customFormat="1" ht="10.199999999999999">
      <c r="A23" s="4">
        <f t="shared" si="22"/>
        <v>7</v>
      </c>
      <c r="B23" s="9">
        <f t="shared" si="25"/>
        <v>48837</v>
      </c>
      <c r="C23" s="4">
        <f t="shared" si="12"/>
        <v>65</v>
      </c>
      <c r="D23" s="4">
        <f t="shared" ca="1" si="0"/>
        <v>5.8991245421672535E-2</v>
      </c>
      <c r="E23" s="4">
        <f t="shared" ca="1" si="23"/>
        <v>0.94100875457832744</v>
      </c>
      <c r="F23" s="4">
        <f t="shared" ca="1" si="26"/>
        <v>0.70459387602674017</v>
      </c>
      <c r="G23" s="4">
        <f t="shared" si="13"/>
        <v>1</v>
      </c>
      <c r="H23" s="4">
        <f t="shared" si="1"/>
        <v>0.54703424484331731</v>
      </c>
      <c r="I23" s="4">
        <f t="shared" si="2"/>
        <v>1.7138242687795207</v>
      </c>
      <c r="J23" s="4">
        <f t="shared" si="14"/>
        <v>1</v>
      </c>
      <c r="K23" s="4">
        <f t="shared" si="24"/>
        <v>0.93752056466595557</v>
      </c>
      <c r="M23" s="6">
        <f t="shared" ca="1" si="15"/>
        <v>11993634.308133071</v>
      </c>
      <c r="N23" s="6">
        <f t="shared" ca="1" si="3"/>
        <v>1145454.0900000001</v>
      </c>
      <c r="O23" s="4">
        <f t="shared" si="16"/>
        <v>1</v>
      </c>
      <c r="P23" s="6">
        <f t="shared" ca="1" si="4"/>
        <v>-325445.40654399211</v>
      </c>
      <c r="Q23" s="4">
        <f t="shared" si="5"/>
        <v>0.66505711362233599</v>
      </c>
      <c r="R23" s="7">
        <f t="shared" ca="1" si="6"/>
        <v>-216439.78271779508</v>
      </c>
      <c r="S23" s="7">
        <f ca="1">SUM($R$16:R23)</f>
        <v>-2141026.8749884982</v>
      </c>
      <c r="T23" s="7">
        <f t="shared" ca="1" si="17"/>
        <v>-2141026.8749884982</v>
      </c>
      <c r="U23" s="7"/>
      <c r="V23" s="7">
        <f t="shared" si="7"/>
        <v>67</v>
      </c>
      <c r="W23" s="159">
        <f t="shared" ca="1" si="8"/>
        <v>6.4665954019617389E-2</v>
      </c>
      <c r="X23" s="160">
        <f t="shared" ca="1" si="18"/>
        <v>0.93533404598038261</v>
      </c>
      <c r="Y23" s="4">
        <f t="shared" ca="1" si="19"/>
        <v>0.6785745876981415</v>
      </c>
      <c r="Z23" s="4">
        <f t="shared" si="9"/>
        <v>0.54703424484331731</v>
      </c>
      <c r="AA23" s="4">
        <f t="shared" si="10"/>
        <v>1.7138242687795207</v>
      </c>
      <c r="AB23" s="160">
        <f t="shared" ca="1" si="20"/>
        <v>0.63617763062672961</v>
      </c>
      <c r="AC23" s="8">
        <f t="shared" si="29"/>
        <v>0</v>
      </c>
      <c r="AD23" s="8">
        <f t="shared" si="21"/>
        <v>0</v>
      </c>
      <c r="AE23" s="8">
        <f t="shared" ca="1" si="11"/>
        <v>0</v>
      </c>
      <c r="AF23" s="8">
        <f t="shared" ca="1" si="27"/>
        <v>-17.149423640889328</v>
      </c>
      <c r="AG23" s="8">
        <f t="shared" ca="1" si="28"/>
        <v>-17.149423640889328</v>
      </c>
    </row>
    <row r="24" spans="1:33" s="4" customFormat="1" ht="10.199999999999999">
      <c r="A24" s="4">
        <f t="shared" si="22"/>
        <v>8</v>
      </c>
      <c r="B24" s="9">
        <f t="shared" si="25"/>
        <v>49202</v>
      </c>
      <c r="C24" s="4">
        <f t="shared" si="12"/>
        <v>66</v>
      </c>
      <c r="D24" s="4">
        <f t="shared" ca="1" si="0"/>
        <v>6.1763461399097781E-2</v>
      </c>
      <c r="E24" s="4">
        <f t="shared" ca="1" si="23"/>
        <v>0.93823653860090217</v>
      </c>
      <c r="F24" s="4">
        <f t="shared" ca="1" si="26"/>
        <v>0.66302900576343926</v>
      </c>
      <c r="G24" s="4">
        <f t="shared" si="13"/>
        <v>1</v>
      </c>
      <c r="H24" s="4">
        <f t="shared" si="1"/>
        <v>0.50186627967276809</v>
      </c>
      <c r="I24" s="4">
        <f t="shared" si="2"/>
        <v>1.8509302102818825</v>
      </c>
      <c r="J24" s="4">
        <f t="shared" si="14"/>
        <v>1</v>
      </c>
      <c r="K24" s="4">
        <f t="shared" si="24"/>
        <v>0.92891945856810276</v>
      </c>
      <c r="M24" s="6">
        <f t="shared" ca="1" si="15"/>
        <v>11824516.437765049</v>
      </c>
      <c r="N24" s="6">
        <f t="shared" ca="1" si="3"/>
        <v>1237090.42</v>
      </c>
      <c r="O24" s="4">
        <f t="shared" si="16"/>
        <v>1</v>
      </c>
      <c r="P24" s="6">
        <f t="shared" ca="1" si="4"/>
        <v>-317622.78053295147</v>
      </c>
      <c r="Q24" s="4">
        <f t="shared" si="5"/>
        <v>0.62741237134182648</v>
      </c>
      <c r="R24" s="7">
        <f t="shared" ca="1" si="6"/>
        <v>-199280.46192636361</v>
      </c>
      <c r="S24" s="7">
        <f ca="1">SUM($R$16:R24)</f>
        <v>-2340307.3369148616</v>
      </c>
      <c r="T24" s="7">
        <f t="shared" ca="1" si="17"/>
        <v>-2340307.3369148616</v>
      </c>
      <c r="U24" s="7"/>
      <c r="V24" s="7">
        <f t="shared" si="7"/>
        <v>68</v>
      </c>
      <c r="W24" s="159">
        <f t="shared" ca="1" si="8"/>
        <v>6.8379582687658619E-2</v>
      </c>
      <c r="X24" s="160">
        <f t="shared" ca="1" si="18"/>
        <v>0.93162041731234135</v>
      </c>
      <c r="Y24" s="4">
        <f t="shared" ca="1" si="19"/>
        <v>0.63469391461117264</v>
      </c>
      <c r="Z24" s="4">
        <f t="shared" si="9"/>
        <v>0.50186627967276809</v>
      </c>
      <c r="AA24" s="4">
        <f t="shared" si="10"/>
        <v>1.8509302102818825</v>
      </c>
      <c r="AB24" s="160">
        <f t="shared" ca="1" si="20"/>
        <v>0.58957952751708009</v>
      </c>
      <c r="AC24" s="8">
        <f t="shared" si="29"/>
        <v>0</v>
      </c>
      <c r="AD24" s="8">
        <f t="shared" si="21"/>
        <v>0</v>
      </c>
      <c r="AE24" s="8">
        <f t="shared" ca="1" si="11"/>
        <v>0</v>
      </c>
      <c r="AF24" s="8">
        <f t="shared" ca="1" si="27"/>
        <v>-19.589933378688293</v>
      </c>
      <c r="AG24" s="8">
        <f t="shared" ca="1" si="28"/>
        <v>-19.589933378688293</v>
      </c>
    </row>
    <row r="25" spans="1:33" s="4" customFormat="1" ht="10.199999999999999">
      <c r="A25" s="4">
        <f t="shared" si="22"/>
        <v>9</v>
      </c>
      <c r="B25" s="9">
        <f t="shared" si="25"/>
        <v>49567</v>
      </c>
      <c r="C25" s="4">
        <f t="shared" si="12"/>
        <v>67</v>
      </c>
      <c r="D25" s="4">
        <f t="shared" ca="1" si="0"/>
        <v>6.4665954019617389E-2</v>
      </c>
      <c r="E25" s="4">
        <f t="shared" ca="1" si="23"/>
        <v>0.93533404598038261</v>
      </c>
      <c r="F25" s="4">
        <f t="shared" ca="1" si="26"/>
        <v>0.62207803935948691</v>
      </c>
      <c r="G25" s="4">
        <f t="shared" si="13"/>
        <v>1</v>
      </c>
      <c r="H25" s="4">
        <f t="shared" si="1"/>
        <v>0.46042777951630098</v>
      </c>
      <c r="I25" s="4">
        <f t="shared" si="2"/>
        <v>1.9990046271044333</v>
      </c>
      <c r="J25" s="4">
        <f t="shared" si="14"/>
        <v>1</v>
      </c>
      <c r="K25" s="4">
        <f t="shared" si="24"/>
        <v>0.92039726170050551</v>
      </c>
      <c r="M25" s="6">
        <f t="shared" ca="1" si="15"/>
        <v>11540294.359363904</v>
      </c>
      <c r="N25" s="6">
        <f t="shared" ca="1" si="3"/>
        <v>1336057.6599999999</v>
      </c>
      <c r="O25" s="4">
        <f t="shared" si="16"/>
        <v>1</v>
      </c>
      <c r="P25" s="6">
        <f t="shared" ca="1" si="4"/>
        <v>-306127.10098091711</v>
      </c>
      <c r="Q25" s="4">
        <f t="shared" si="5"/>
        <v>0.59189846353002495</v>
      </c>
      <c r="R25" s="7">
        <f t="shared" ca="1" si="6"/>
        <v>-181196.16071550563</v>
      </c>
      <c r="S25" s="7">
        <f ca="1">SUM($R$16:R25)</f>
        <v>-2521503.4976303671</v>
      </c>
      <c r="T25" s="7">
        <f t="shared" ca="1" si="17"/>
        <v>-2521503.4976303671</v>
      </c>
      <c r="U25" s="7"/>
      <c r="V25" s="7">
        <f t="shared" si="7"/>
        <v>69</v>
      </c>
      <c r="W25" s="159">
        <f t="shared" ca="1" si="8"/>
        <v>7.2306477178390921E-2</v>
      </c>
      <c r="X25" s="160">
        <f t="shared" ca="1" si="18"/>
        <v>0.92769352282160911</v>
      </c>
      <c r="Y25" s="4">
        <f t="shared" ca="1" si="19"/>
        <v>0.59129380959566424</v>
      </c>
      <c r="Z25" s="4">
        <f t="shared" si="9"/>
        <v>0.46042777951630098</v>
      </c>
      <c r="AA25" s="4">
        <f t="shared" si="10"/>
        <v>1.9990046271044333</v>
      </c>
      <c r="AB25" s="160">
        <f t="shared" ca="1" si="20"/>
        <v>0.54422520321230949</v>
      </c>
      <c r="AC25" s="8">
        <f t="shared" si="29"/>
        <v>0</v>
      </c>
      <c r="AD25" s="8">
        <f t="shared" si="21"/>
        <v>0</v>
      </c>
      <c r="AE25" s="8">
        <f t="shared" ca="1" si="11"/>
        <v>0</v>
      </c>
      <c r="AF25" s="8">
        <f t="shared" ca="1" si="27"/>
        <v>-22.133163209005037</v>
      </c>
      <c r="AG25" s="8">
        <f t="shared" ca="1" si="28"/>
        <v>-22.133163209005037</v>
      </c>
    </row>
    <row r="26" spans="1:33" s="4" customFormat="1" ht="10.199999999999999">
      <c r="A26" s="4">
        <f t="shared" si="22"/>
        <v>10</v>
      </c>
      <c r="B26" s="9">
        <f t="shared" si="25"/>
        <v>49933</v>
      </c>
      <c r="C26" s="4">
        <f t="shared" si="12"/>
        <v>68</v>
      </c>
      <c r="D26" s="4">
        <f t="shared" ca="1" si="0"/>
        <v>6.8379582687658619E-2</v>
      </c>
      <c r="E26" s="4">
        <f t="shared" ca="1" si="23"/>
        <v>0.93162041731234135</v>
      </c>
      <c r="F26" s="4">
        <f t="shared" ca="1" si="26"/>
        <v>0.58185076946965264</v>
      </c>
      <c r="G26" s="4">
        <f t="shared" si="13"/>
        <v>1</v>
      </c>
      <c r="H26" s="4">
        <f t="shared" si="1"/>
        <v>0.42241080689568894</v>
      </c>
      <c r="I26" s="4">
        <f t="shared" si="2"/>
        <v>2.1589249972727882</v>
      </c>
      <c r="J26" s="4">
        <f t="shared" si="14"/>
        <v>1</v>
      </c>
      <c r="K26" s="4">
        <f t="shared" si="24"/>
        <v>0.91195325012527151</v>
      </c>
      <c r="M26" s="6">
        <f t="shared" ca="1" si="15"/>
        <v>11122618.002306657</v>
      </c>
      <c r="N26" s="6">
        <f t="shared" ca="1" si="3"/>
        <v>1442942.27</v>
      </c>
      <c r="O26" s="4">
        <f t="shared" si="16"/>
        <v>1</v>
      </c>
      <c r="P26" s="6">
        <f t="shared" ca="1" si="4"/>
        <v>-290390.2719691997</v>
      </c>
      <c r="Q26" s="4">
        <f t="shared" si="5"/>
        <v>0.55839477691511785</v>
      </c>
      <c r="R26" s="7">
        <f t="shared" ca="1" si="6"/>
        <v>-162152.41113456167</v>
      </c>
      <c r="S26" s="7">
        <f ca="1">SUM($R$16:R26)</f>
        <v>-2683655.9087649286</v>
      </c>
      <c r="T26" s="7">
        <f t="shared" ca="1" si="17"/>
        <v>-2683655.9087649286</v>
      </c>
      <c r="U26" s="7"/>
      <c r="V26" s="7">
        <f t="shared" si="7"/>
        <v>70</v>
      </c>
      <c r="W26" s="159">
        <f t="shared" ca="1" si="8"/>
        <v>7.6458884895955592E-2</v>
      </c>
      <c r="X26" s="160">
        <f t="shared" ca="1" si="18"/>
        <v>0.92354111510404446</v>
      </c>
      <c r="Y26" s="4">
        <f t="shared" ca="1" si="19"/>
        <v>0.54853943724641152</v>
      </c>
      <c r="Z26" s="4">
        <f t="shared" si="9"/>
        <v>0.42241080689568894</v>
      </c>
      <c r="AA26" s="4">
        <f t="shared" si="10"/>
        <v>2.1589249972727882</v>
      </c>
      <c r="AB26" s="160">
        <f t="shared" ca="1" si="20"/>
        <v>0.50024232261875246</v>
      </c>
      <c r="AC26" s="8">
        <f t="shared" si="29"/>
        <v>0</v>
      </c>
      <c r="AD26" s="8">
        <f t="shared" si="21"/>
        <v>0</v>
      </c>
      <c r="AE26" s="8">
        <f t="shared" ca="1" si="11"/>
        <v>0</v>
      </c>
      <c r="AF26" s="8">
        <f t="shared" ca="1" si="27"/>
        <v>-24.792330528896578</v>
      </c>
      <c r="AG26" s="8">
        <f t="shared" ca="1" si="28"/>
        <v>-24.792330528896578</v>
      </c>
    </row>
    <row r="27" spans="1:33" s="4" customFormat="1" ht="10.199999999999999">
      <c r="A27" s="4">
        <f t="shared" si="22"/>
        <v>11</v>
      </c>
      <c r="B27" s="9">
        <f t="shared" si="25"/>
        <v>50298</v>
      </c>
      <c r="C27" s="4">
        <f t="shared" si="12"/>
        <v>69</v>
      </c>
      <c r="D27" s="4">
        <f t="shared" ca="1" si="0"/>
        <v>7.2306477178390921E-2</v>
      </c>
      <c r="E27" s="4">
        <f t="shared" ca="1" si="23"/>
        <v>0.92769352282160911</v>
      </c>
      <c r="F27" s="4">
        <f t="shared" ca="1" si="26"/>
        <v>0.54206405666682467</v>
      </c>
      <c r="G27" s="4">
        <f t="shared" si="13"/>
        <v>1</v>
      </c>
      <c r="H27" s="4">
        <f t="shared" si="1"/>
        <v>0.38753285036301738</v>
      </c>
      <c r="I27" s="4">
        <f t="shared" si="2"/>
        <v>2.3316389970546112</v>
      </c>
      <c r="J27" s="4">
        <f t="shared" si="14"/>
        <v>1</v>
      </c>
      <c r="K27" s="4">
        <f t="shared" si="24"/>
        <v>0.90358670654614059</v>
      </c>
      <c r="M27" s="6">
        <f t="shared" ca="1" si="15"/>
        <v>10550846.548214257</v>
      </c>
      <c r="N27" s="6">
        <f t="shared" ca="1" si="3"/>
        <v>1558377.65</v>
      </c>
      <c r="O27" s="4">
        <f t="shared" si="16"/>
        <v>1</v>
      </c>
      <c r="P27" s="6">
        <f t="shared" ca="1" si="4"/>
        <v>-269774.06694642769</v>
      </c>
      <c r="Q27" s="4">
        <f t="shared" si="5"/>
        <v>0.52678752539162055</v>
      </c>
      <c r="R27" s="7">
        <f t="shared" ca="1" si="6"/>
        <v>-142113.61314154201</v>
      </c>
      <c r="S27" s="7">
        <f ca="1">SUM($R$16:R27)</f>
        <v>-2825769.5219064704</v>
      </c>
      <c r="T27" s="7">
        <f t="shared" ca="1" si="17"/>
        <v>-2825769.5219064704</v>
      </c>
      <c r="U27" s="7"/>
      <c r="V27" s="7">
        <f t="shared" si="7"/>
        <v>71</v>
      </c>
      <c r="W27" s="159">
        <f t="shared" ca="1" si="8"/>
        <v>8.0849756586953106E-2</v>
      </c>
      <c r="X27" s="160">
        <f t="shared" ca="1" si="18"/>
        <v>0.91915024341304685</v>
      </c>
      <c r="Y27" s="4">
        <f t="shared" ca="1" si="19"/>
        <v>0.50659872355309588</v>
      </c>
      <c r="Z27" s="4">
        <f t="shared" si="9"/>
        <v>0.38753285036301738</v>
      </c>
      <c r="AA27" s="4">
        <f t="shared" si="10"/>
        <v>2.3316389970546112</v>
      </c>
      <c r="AB27" s="160">
        <f t="shared" ca="1" si="20"/>
        <v>0.45775587215582064</v>
      </c>
      <c r="AC27" s="8">
        <f t="shared" si="29"/>
        <v>0</v>
      </c>
      <c r="AD27" s="8">
        <f t="shared" si="21"/>
        <v>0</v>
      </c>
      <c r="AE27" s="8">
        <f t="shared" ca="1" si="11"/>
        <v>0</v>
      </c>
      <c r="AF27" s="8">
        <f t="shared" ca="1" si="27"/>
        <v>-27.581725398107011</v>
      </c>
      <c r="AG27" s="8">
        <f t="shared" ca="1" si="28"/>
        <v>-27.581725398107011</v>
      </c>
    </row>
    <row r="28" spans="1:33" s="4" customFormat="1" ht="10.199999999999999">
      <c r="A28" s="4">
        <f t="shared" si="22"/>
        <v>12</v>
      </c>
      <c r="B28" s="9">
        <f t="shared" si="25"/>
        <v>50663</v>
      </c>
      <c r="C28" s="4">
        <f t="shared" si="12"/>
        <v>70</v>
      </c>
      <c r="D28" s="4">
        <f t="shared" ca="1" si="0"/>
        <v>7.6458884895955592E-2</v>
      </c>
      <c r="E28" s="4">
        <f t="shared" ca="1" si="23"/>
        <v>0.92354111510404446</v>
      </c>
      <c r="F28" s="4">
        <f t="shared" ca="1" si="26"/>
        <v>0.50286931432421889</v>
      </c>
      <c r="G28" s="4">
        <f t="shared" si="13"/>
        <v>1</v>
      </c>
      <c r="H28" s="4">
        <f t="shared" si="1"/>
        <v>0.35553472510368567</v>
      </c>
      <c r="I28" s="4">
        <f t="shared" si="2"/>
        <v>2.5181701168189803</v>
      </c>
      <c r="J28" s="4">
        <f t="shared" si="14"/>
        <v>1</v>
      </c>
      <c r="K28" s="4">
        <f t="shared" si="24"/>
        <v>0.89529692024755214</v>
      </c>
      <c r="M28" s="6">
        <f t="shared" ca="1" si="15"/>
        <v>9801791.0990535393</v>
      </c>
      <c r="N28" s="6">
        <f t="shared" ca="1" si="3"/>
        <v>1683047.86</v>
      </c>
      <c r="O28" s="4">
        <f t="shared" si="16"/>
        <v>1</v>
      </c>
      <c r="P28" s="6">
        <f t="shared" ca="1" si="4"/>
        <v>-243562.29717160616</v>
      </c>
      <c r="Q28" s="4">
        <f t="shared" si="5"/>
        <v>0.4969693635770005</v>
      </c>
      <c r="R28" s="7">
        <f t="shared" ca="1" si="6"/>
        <v>-121042.99981672538</v>
      </c>
      <c r="S28" s="7">
        <f ca="1">SUM($R$16:R28)</f>
        <v>-2946812.5217231959</v>
      </c>
      <c r="T28" s="7">
        <f t="shared" ca="1" si="17"/>
        <v>-2946812.5217231959</v>
      </c>
      <c r="U28" s="7"/>
      <c r="V28" s="7">
        <f t="shared" si="7"/>
        <v>72</v>
      </c>
      <c r="W28" s="159">
        <f t="shared" ca="1" si="8"/>
        <v>8.5492786731909742E-2</v>
      </c>
      <c r="X28" s="160">
        <f t="shared" ca="1" si="18"/>
        <v>0.91450721326809026</v>
      </c>
      <c r="Y28" s="4">
        <f t="shared" ca="1" si="19"/>
        <v>0.4656403400665669</v>
      </c>
      <c r="Z28" s="4">
        <f t="shared" si="9"/>
        <v>0.35553472510368567</v>
      </c>
      <c r="AA28" s="4">
        <f t="shared" si="10"/>
        <v>2.5181701168189803</v>
      </c>
      <c r="AB28" s="160">
        <f t="shared" ca="1" si="20"/>
        <v>0.41688636240462024</v>
      </c>
      <c r="AC28" s="8">
        <f t="shared" si="29"/>
        <v>0</v>
      </c>
      <c r="AD28" s="8">
        <f t="shared" si="21"/>
        <v>0</v>
      </c>
      <c r="AE28" s="8">
        <f t="shared" ca="1" si="11"/>
        <v>0</v>
      </c>
      <c r="AF28" s="8">
        <f t="shared" ca="1" si="27"/>
        <v>-30.516781877330612</v>
      </c>
      <c r="AG28" s="8">
        <f t="shared" ca="1" si="28"/>
        <v>-30.516781877330612</v>
      </c>
    </row>
    <row r="29" spans="1:33" s="4" customFormat="1" ht="10.199999999999999">
      <c r="A29" s="4">
        <f t="shared" si="22"/>
        <v>13</v>
      </c>
      <c r="B29" s="9">
        <f t="shared" si="25"/>
        <v>51028</v>
      </c>
      <c r="C29" s="4">
        <f t="shared" si="12"/>
        <v>71</v>
      </c>
      <c r="D29" s="4">
        <f t="shared" ca="1" si="0"/>
        <v>8.0849756586953106E-2</v>
      </c>
      <c r="E29" s="4">
        <f t="shared" ca="1" si="23"/>
        <v>0.91915024341304685</v>
      </c>
      <c r="F29" s="4">
        <f t="shared" ca="1" si="26"/>
        <v>0.46442048730259533</v>
      </c>
      <c r="G29" s="4">
        <f t="shared" si="13"/>
        <v>1</v>
      </c>
      <c r="H29" s="4">
        <f t="shared" si="1"/>
        <v>0.32617864688411524</v>
      </c>
      <c r="I29" s="4">
        <f t="shared" si="2"/>
        <v>2.7196237261644991</v>
      </c>
      <c r="J29" s="4">
        <f t="shared" si="14"/>
        <v>1</v>
      </c>
      <c r="K29" s="4">
        <f t="shared" si="24"/>
        <v>0.88708318703427191</v>
      </c>
      <c r="M29" s="6">
        <f t="shared" ca="1" si="15"/>
        <v>8849430.130568359</v>
      </c>
      <c r="N29" s="6">
        <f t="shared" ca="1" si="3"/>
        <v>1817691.69</v>
      </c>
      <c r="O29" s="4">
        <f t="shared" si="16"/>
        <v>1</v>
      </c>
      <c r="P29" s="6">
        <f t="shared" ca="1" si="4"/>
        <v>-210952.15321705077</v>
      </c>
      <c r="Q29" s="4">
        <f t="shared" si="5"/>
        <v>0.46883902224245327</v>
      </c>
      <c r="R29" s="7">
        <f t="shared" ca="1" si="6"/>
        <v>-98902.601254222274</v>
      </c>
      <c r="S29" s="7">
        <f ca="1">SUM($R$16:R29)</f>
        <v>-3045715.1229774184</v>
      </c>
      <c r="T29" s="7">
        <f t="shared" ca="1" si="17"/>
        <v>-3045715.1229774184</v>
      </c>
      <c r="U29" s="7"/>
      <c r="V29" s="7">
        <f t="shared" si="7"/>
        <v>73</v>
      </c>
      <c r="W29" s="159">
        <f t="shared" ca="1" si="8"/>
        <v>8.9652468661066714E-2</v>
      </c>
      <c r="X29" s="160">
        <f t="shared" ca="1" si="18"/>
        <v>0.91034753133893331</v>
      </c>
      <c r="Y29" s="4">
        <f t="shared" ca="1" si="19"/>
        <v>0.42583144977948195</v>
      </c>
      <c r="Z29" s="4">
        <f t="shared" si="9"/>
        <v>0.32617864688411524</v>
      </c>
      <c r="AA29" s="4">
        <f t="shared" si="10"/>
        <v>2.7196237261644991</v>
      </c>
      <c r="AB29" s="160">
        <f t="shared" ca="1" si="20"/>
        <v>0.37774791960980736</v>
      </c>
      <c r="AC29" s="8">
        <f t="shared" si="29"/>
        <v>0</v>
      </c>
      <c r="AD29" s="8">
        <f t="shared" si="21"/>
        <v>0</v>
      </c>
      <c r="AE29" s="8">
        <f t="shared" ca="1" si="11"/>
        <v>0</v>
      </c>
      <c r="AF29" s="8">
        <f t="shared" ca="1" si="27"/>
        <v>-33.614153523104918</v>
      </c>
      <c r="AG29" s="8">
        <f t="shared" ca="1" si="28"/>
        <v>-33.614153523104918</v>
      </c>
    </row>
    <row r="30" spans="1:33" s="4" customFormat="1" ht="10.199999999999999">
      <c r="A30" s="4">
        <f t="shared" si="22"/>
        <v>14</v>
      </c>
      <c r="B30" s="9">
        <f t="shared" si="25"/>
        <v>51394</v>
      </c>
      <c r="C30" s="4">
        <f t="shared" si="12"/>
        <v>72</v>
      </c>
      <c r="D30" s="4">
        <f t="shared" ca="1" si="0"/>
        <v>8.5492786731909742E-2</v>
      </c>
      <c r="E30" s="4">
        <f t="shared" ca="1" si="23"/>
        <v>0.91450721326809026</v>
      </c>
      <c r="F30" s="4">
        <f t="shared" ca="1" si="26"/>
        <v>0.42687220395018632</v>
      </c>
      <c r="G30" s="4">
        <f t="shared" si="13"/>
        <v>1</v>
      </c>
      <c r="H30" s="4">
        <f t="shared" si="1"/>
        <v>0.29924646503129837</v>
      </c>
      <c r="I30" s="4">
        <f t="shared" si="2"/>
        <v>2.9371936242576591</v>
      </c>
      <c r="J30" s="4">
        <f t="shared" si="14"/>
        <v>1</v>
      </c>
      <c r="K30" s="4">
        <f t="shared" si="24"/>
        <v>0.87894480917157214</v>
      </c>
      <c r="M30" s="6">
        <f t="shared" ca="1" si="15"/>
        <v>7664594.9002195122</v>
      </c>
      <c r="N30" s="6">
        <f t="shared" ca="1" si="3"/>
        <v>1963107.03</v>
      </c>
      <c r="O30" s="4">
        <f t="shared" si="16"/>
        <v>1</v>
      </c>
      <c r="P30" s="6">
        <f t="shared" ca="1" si="4"/>
        <v>-171044.63610658536</v>
      </c>
      <c r="Q30" s="4">
        <f t="shared" si="5"/>
        <v>0.44230096437967292</v>
      </c>
      <c r="R30" s="7">
        <f t="shared" ca="1" si="6"/>
        <v>-75653.207501912926</v>
      </c>
      <c r="S30" s="7">
        <f ca="1">SUM($R$16:R30)</f>
        <v>-3121368.3304793313</v>
      </c>
      <c r="T30" s="7">
        <f t="shared" ca="1" si="17"/>
        <v>-3121368.3304793313</v>
      </c>
      <c r="U30" s="7"/>
      <c r="V30" s="7">
        <f t="shared" si="7"/>
        <v>74</v>
      </c>
      <c r="W30" s="159">
        <f t="shared" ca="1" si="8"/>
        <v>9.4899667337125085E-2</v>
      </c>
      <c r="X30" s="160">
        <f t="shared" ca="1" si="18"/>
        <v>0.90510033266287493</v>
      </c>
      <c r="Y30" s="4">
        <f t="shared" ca="1" si="19"/>
        <v>0.38765460907323035</v>
      </c>
      <c r="Z30" s="4">
        <f t="shared" si="9"/>
        <v>0.29924646503129837</v>
      </c>
      <c r="AA30" s="4">
        <f t="shared" si="10"/>
        <v>2.9371936242576591</v>
      </c>
      <c r="AB30" s="160">
        <f t="shared" ca="1" si="20"/>
        <v>0.34072700639635084</v>
      </c>
      <c r="AC30" s="8">
        <f t="shared" si="29"/>
        <v>0</v>
      </c>
      <c r="AD30" s="8">
        <f t="shared" si="21"/>
        <v>0</v>
      </c>
      <c r="AE30" s="8">
        <f t="shared" ca="1" si="11"/>
        <v>0</v>
      </c>
      <c r="AF30" s="8">
        <f t="shared" ca="1" si="27"/>
        <v>-36.892074153758927</v>
      </c>
      <c r="AG30" s="8">
        <f t="shared" ca="1" si="28"/>
        <v>-36.892074153758927</v>
      </c>
    </row>
    <row r="31" spans="1:33" s="4" customFormat="1" ht="10.199999999999999">
      <c r="A31" s="4">
        <f t="shared" si="22"/>
        <v>15</v>
      </c>
      <c r="B31" s="9">
        <f t="shared" si="25"/>
        <v>51759</v>
      </c>
      <c r="C31" s="4">
        <f t="shared" si="12"/>
        <v>73</v>
      </c>
      <c r="D31" s="4">
        <f t="shared" ca="1" si="0"/>
        <v>8.9652468661066714E-2</v>
      </c>
      <c r="E31" s="4">
        <f t="shared" ca="1" si="23"/>
        <v>0.91034753133893331</v>
      </c>
      <c r="F31" s="4">
        <f t="shared" ca="1" si="26"/>
        <v>0.39037770965609275</v>
      </c>
      <c r="G31" s="4">
        <f t="shared" ca="1" si="13"/>
        <v>0.39037770965609275</v>
      </c>
      <c r="H31" s="4">
        <f t="shared" si="1"/>
        <v>0.27453804131311776</v>
      </c>
      <c r="I31" s="4">
        <f t="shared" si="2"/>
        <v>3.172169114198272</v>
      </c>
      <c r="J31" s="4">
        <f t="shared" si="14"/>
        <v>1</v>
      </c>
      <c r="K31" s="4">
        <f t="shared" ca="1" si="24"/>
        <v>0.33997256737613818</v>
      </c>
      <c r="M31" s="6">
        <f t="shared" ca="1" si="15"/>
        <v>15919509.810163349</v>
      </c>
      <c r="N31" s="6">
        <f t="shared" ca="1" si="3"/>
        <v>2120155.59</v>
      </c>
      <c r="O31" s="4">
        <f t="shared" ca="1" si="16"/>
        <v>0.39037770965609275</v>
      </c>
      <c r="P31" s="6">
        <f t="shared" ca="1" si="4"/>
        <v>-413980.62660490046</v>
      </c>
      <c r="Q31" s="4">
        <f t="shared" si="5"/>
        <v>0.41726506073554037</v>
      </c>
      <c r="R31" s="7">
        <f t="shared" ca="1" si="6"/>
        <v>-67433.709442703504</v>
      </c>
      <c r="S31" s="7">
        <f ca="1">SUM($R$16:R31)</f>
        <v>-3188802.0399220348</v>
      </c>
      <c r="T31" s="7">
        <f t="shared" ca="1" si="17"/>
        <v>-3188802.0399220348</v>
      </c>
      <c r="U31" s="7"/>
      <c r="V31" s="7">
        <f t="shared" si="7"/>
        <v>75</v>
      </c>
      <c r="W31" s="159">
        <f t="shared" ca="1" si="8"/>
        <v>9.9539717271236935E-2</v>
      </c>
      <c r="X31" s="160">
        <f t="shared" ca="1" si="18"/>
        <v>0.90046028272876311</v>
      </c>
      <c r="Y31" s="4">
        <f t="shared" ca="1" si="19"/>
        <v>0.35086631563047754</v>
      </c>
      <c r="Z31" s="4">
        <f t="shared" si="9"/>
        <v>0.27453804131311776</v>
      </c>
      <c r="AA31" s="4">
        <f t="shared" si="10"/>
        <v>3.172169114198272</v>
      </c>
      <c r="AB31" s="160">
        <f t="shared" ca="1" si="20"/>
        <v>0.30556284126925476</v>
      </c>
      <c r="AC31" s="8">
        <f t="shared" si="29"/>
        <v>0</v>
      </c>
      <c r="AD31" s="8">
        <f t="shared" si="21"/>
        <v>0</v>
      </c>
      <c r="AE31" s="8">
        <f t="shared" ca="1" si="11"/>
        <v>0</v>
      </c>
      <c r="AF31" s="8">
        <f t="shared" ca="1" si="27"/>
        <v>-40.369806109226452</v>
      </c>
      <c r="AG31" s="8">
        <f t="shared" ca="1" si="28"/>
        <v>-40.369806109226452</v>
      </c>
    </row>
    <row r="32" spans="1:33" s="4" customFormat="1" ht="10.199999999999999">
      <c r="A32" s="4">
        <f t="shared" si="22"/>
        <v>16</v>
      </c>
      <c r="B32" s="9">
        <f t="shared" si="25"/>
        <v>52124</v>
      </c>
      <c r="C32" s="4">
        <f t="shared" si="12"/>
        <v>74</v>
      </c>
      <c r="D32" s="4">
        <f t="shared" ca="1" si="0"/>
        <v>9.4899667337125085E-2</v>
      </c>
      <c r="E32" s="4">
        <f t="shared" ca="1" si="23"/>
        <v>0.90510033266287493</v>
      </c>
      <c r="F32" s="4">
        <f t="shared" ca="1" si="26"/>
        <v>0.35537938427517091</v>
      </c>
      <c r="G32" s="4">
        <f t="shared" ca="1" si="13"/>
        <v>0.35537938427517091</v>
      </c>
      <c r="H32" s="4">
        <f t="shared" si="1"/>
        <v>0.2518697626725851</v>
      </c>
      <c r="I32" s="4">
        <f t="shared" si="2"/>
        <v>3.425942643334134</v>
      </c>
      <c r="J32" s="4">
        <f t="shared" si="14"/>
        <v>1</v>
      </c>
      <c r="K32" s="4">
        <f t="shared" ca="1" si="24"/>
        <v>0.30665380039314927</v>
      </c>
      <c r="M32" s="6">
        <f t="shared" ca="1" si="15"/>
        <v>16522586.794798477</v>
      </c>
      <c r="N32" s="6">
        <f t="shared" ca="1" si="3"/>
        <v>2289768.04</v>
      </c>
      <c r="O32" s="4">
        <f t="shared" ca="1" si="16"/>
        <v>0.91034753133893331</v>
      </c>
      <c r="P32" s="6">
        <f t="shared" ca="1" si="4"/>
        <v>-426984.56264395424</v>
      </c>
      <c r="Q32" s="4">
        <f t="shared" si="5"/>
        <v>0.39364628371277405</v>
      </c>
      <c r="R32" s="7">
        <f t="shared" ca="1" si="6"/>
        <v>-59732.48187728272</v>
      </c>
      <c r="S32" s="7">
        <f ca="1">SUM($R$16:R32)</f>
        <v>-3248534.5217993176</v>
      </c>
      <c r="T32" s="7">
        <f t="shared" ca="1" si="17"/>
        <v>-3248534.5217993176</v>
      </c>
      <c r="U32" s="7"/>
      <c r="V32" s="7">
        <f t="shared" si="7"/>
        <v>76</v>
      </c>
      <c r="W32" s="159">
        <f t="shared" ca="1" si="8"/>
        <v>0.10510103109503842</v>
      </c>
      <c r="X32" s="160">
        <f t="shared" ca="1" si="18"/>
        <v>0.89489896890496157</v>
      </c>
      <c r="Y32" s="4">
        <f t="shared" ca="1" si="19"/>
        <v>0.31594118177261926</v>
      </c>
      <c r="Z32" s="4">
        <f t="shared" si="9"/>
        <v>0.2518697626725851</v>
      </c>
      <c r="AA32" s="4">
        <f t="shared" si="10"/>
        <v>3.425942643334134</v>
      </c>
      <c r="AB32" s="160">
        <f t="shared" ca="1" si="20"/>
        <v>0.27262291617979334</v>
      </c>
      <c r="AC32" s="8">
        <f t="shared" si="29"/>
        <v>0</v>
      </c>
      <c r="AD32" s="8">
        <f t="shared" si="21"/>
        <v>0</v>
      </c>
      <c r="AE32" s="8">
        <f t="shared" ca="1" si="11"/>
        <v>0</v>
      </c>
      <c r="AF32" s="8">
        <f t="shared" ca="1" si="27"/>
        <v>-44.068371668740376</v>
      </c>
      <c r="AG32" s="8">
        <f t="shared" ca="1" si="28"/>
        <v>-44.068371668740376</v>
      </c>
    </row>
    <row r="33" spans="1:33" s="4" customFormat="1" ht="10.199999999999999">
      <c r="A33" s="4">
        <f t="shared" si="22"/>
        <v>17</v>
      </c>
      <c r="B33" s="9">
        <f t="shared" si="25"/>
        <v>52489</v>
      </c>
      <c r="C33" s="4">
        <f t="shared" si="12"/>
        <v>75</v>
      </c>
      <c r="D33" s="4">
        <f t="shared" ca="1" si="0"/>
        <v>9.9539717271236935E-2</v>
      </c>
      <c r="E33" s="4">
        <f t="shared" ca="1" si="23"/>
        <v>0.90046028272876311</v>
      </c>
      <c r="F33" s="4">
        <f t="shared" ca="1" si="26"/>
        <v>0.32165399892898483</v>
      </c>
      <c r="G33" s="4">
        <f t="shared" ca="1" si="13"/>
        <v>0.32165399892898483</v>
      </c>
      <c r="H33" s="4">
        <f t="shared" si="1"/>
        <v>0.23107317676383954</v>
      </c>
      <c r="I33" s="4">
        <f t="shared" si="2"/>
        <v>3.7000180548008648</v>
      </c>
      <c r="J33" s="4">
        <f t="shared" si="14"/>
        <v>1</v>
      </c>
      <c r="K33" s="4">
        <f t="shared" ca="1" si="24"/>
        <v>0.27500610393397079</v>
      </c>
      <c r="M33" s="6">
        <f t="shared" ca="1" si="15"/>
        <v>17140389.725730877</v>
      </c>
      <c r="N33" s="6">
        <f t="shared" ca="1" si="3"/>
        <v>2472949.48</v>
      </c>
      <c r="O33" s="4">
        <f t="shared" ca="1" si="16"/>
        <v>0.90510033266287493</v>
      </c>
      <c r="P33" s="6">
        <f t="shared" ca="1" si="4"/>
        <v>-440023.20737192628</v>
      </c>
      <c r="Q33" s="4">
        <f t="shared" si="5"/>
        <v>0.37136441859695657</v>
      </c>
      <c r="R33" s="7">
        <f t="shared" ca="1" si="6"/>
        <v>-52561.146273035214</v>
      </c>
      <c r="S33" s="7">
        <f ca="1">SUM($R$16:R33)</f>
        <v>-3301095.6680723527</v>
      </c>
      <c r="T33" s="7">
        <f t="shared" ca="1" si="17"/>
        <v>-3301095.6680723527</v>
      </c>
      <c r="U33" s="7"/>
      <c r="V33" s="7">
        <f t="shared" si="7"/>
        <v>77</v>
      </c>
      <c r="W33" s="159">
        <f t="shared" ca="1" si="8"/>
        <v>0.1110260017174016</v>
      </c>
      <c r="X33" s="160">
        <f t="shared" ca="1" si="18"/>
        <v>0.88897399828259838</v>
      </c>
      <c r="Y33" s="4">
        <f t="shared" ca="1" si="19"/>
        <v>0.28273543780293203</v>
      </c>
      <c r="Z33" s="4">
        <f t="shared" si="9"/>
        <v>0.23107317676383954</v>
      </c>
      <c r="AA33" s="4">
        <f t="shared" si="10"/>
        <v>3.7000180548008648</v>
      </c>
      <c r="AB33" s="160">
        <f t="shared" ca="1" si="20"/>
        <v>0.24173171001494834</v>
      </c>
      <c r="AC33" s="8">
        <f t="shared" si="29"/>
        <v>0</v>
      </c>
      <c r="AD33" s="8">
        <f t="shared" si="21"/>
        <v>0</v>
      </c>
      <c r="AE33" s="8">
        <f t="shared" ca="1" si="11"/>
        <v>0</v>
      </c>
      <c r="AF33" s="8">
        <f t="shared" ca="1" si="27"/>
        <v>-48.010121433556186</v>
      </c>
      <c r="AG33" s="8">
        <f t="shared" ca="1" si="28"/>
        <v>-48.010121433556186</v>
      </c>
    </row>
    <row r="34" spans="1:33" s="4" customFormat="1" ht="10.199999999999999">
      <c r="A34" s="4">
        <f t="shared" si="22"/>
        <v>18</v>
      </c>
      <c r="B34" s="9">
        <f t="shared" si="25"/>
        <v>52855</v>
      </c>
      <c r="C34" s="4">
        <f t="shared" si="12"/>
        <v>76</v>
      </c>
      <c r="D34" s="4">
        <f t="shared" ca="1" si="0"/>
        <v>0.10510103109503842</v>
      </c>
      <c r="E34" s="4">
        <f t="shared" ca="1" si="23"/>
        <v>0.89489896890496157</v>
      </c>
      <c r="F34" s="4">
        <f t="shared" ca="1" si="26"/>
        <v>0.28963665081643092</v>
      </c>
      <c r="G34" s="4">
        <f t="shared" ca="1" si="13"/>
        <v>0.28963665081643092</v>
      </c>
      <c r="H34" s="4">
        <f t="shared" si="1"/>
        <v>0.21199374015031147</v>
      </c>
      <c r="I34" s="4">
        <f t="shared" si="2"/>
        <v>3.9960194991849343</v>
      </c>
      <c r="J34" s="4">
        <f t="shared" si="14"/>
        <v>1</v>
      </c>
      <c r="K34" s="4">
        <f t="shared" ca="1" si="24"/>
        <v>0.24536022020968848</v>
      </c>
      <c r="M34" s="6">
        <f t="shared" ca="1" si="15"/>
        <v>17754819.590041172</v>
      </c>
      <c r="N34" s="6">
        <f t="shared" ca="1" si="3"/>
        <v>2670785.44</v>
      </c>
      <c r="O34" s="4">
        <f t="shared" ca="1" si="16"/>
        <v>0.90046028272876311</v>
      </c>
      <c r="P34" s="6">
        <f t="shared" ca="1" si="4"/>
        <v>-452521.02450123517</v>
      </c>
      <c r="Q34" s="4">
        <f t="shared" si="5"/>
        <v>0.35034379112920433</v>
      </c>
      <c r="R34" s="7">
        <f t="shared" ca="1" si="6"/>
        <v>-45918.395446037197</v>
      </c>
      <c r="S34" s="7">
        <f ca="1">SUM($R$16:R34)</f>
        <v>-3347014.0635183901</v>
      </c>
      <c r="T34" s="7">
        <f t="shared" ca="1" si="17"/>
        <v>-3347014.0635183901</v>
      </c>
      <c r="U34" s="7"/>
      <c r="V34" s="7">
        <f t="shared" si="7"/>
        <v>78</v>
      </c>
      <c r="W34" s="159">
        <f t="shared" ca="1" si="8"/>
        <v>0.11760450049949886</v>
      </c>
      <c r="X34" s="160">
        <f t="shared" ca="1" si="18"/>
        <v>0.88239549950050111</v>
      </c>
      <c r="Y34" s="4">
        <f t="shared" ca="1" si="19"/>
        <v>0.25134445259985339</v>
      </c>
      <c r="Z34" s="4">
        <f t="shared" si="9"/>
        <v>0.21199374015031147</v>
      </c>
      <c r="AA34" s="4">
        <f t="shared" si="10"/>
        <v>3.9960194991849343</v>
      </c>
      <c r="AB34" s="160">
        <f t="shared" ca="1" si="20"/>
        <v>0.21292170747226835</v>
      </c>
      <c r="AC34" s="8">
        <f t="shared" si="29"/>
        <v>0</v>
      </c>
      <c r="AD34" s="8">
        <f t="shared" si="21"/>
        <v>0</v>
      </c>
      <c r="AE34" s="8">
        <f t="shared" ca="1" si="11"/>
        <v>0</v>
      </c>
      <c r="AF34" s="8">
        <f t="shared" ca="1" si="27"/>
        <v>-52.219062640213387</v>
      </c>
      <c r="AG34" s="8">
        <f t="shared" ca="1" si="28"/>
        <v>-52.219062640213387</v>
      </c>
    </row>
    <row r="35" spans="1:33" s="4" customFormat="1" ht="10.199999999999999">
      <c r="A35" s="4">
        <f t="shared" si="22"/>
        <v>19</v>
      </c>
      <c r="B35" s="9">
        <f t="shared" si="25"/>
        <v>53220</v>
      </c>
      <c r="C35" s="4">
        <f t="shared" si="12"/>
        <v>77</v>
      </c>
      <c r="D35" s="4">
        <f t="shared" ca="1" si="0"/>
        <v>0.1110260017174016</v>
      </c>
      <c r="E35" s="4">
        <f t="shared" ca="1" si="23"/>
        <v>0.88897399828259838</v>
      </c>
      <c r="F35" s="4">
        <f t="shared" ca="1" si="26"/>
        <v>0.2591955401727104</v>
      </c>
      <c r="G35" s="4">
        <f t="shared" ca="1" si="13"/>
        <v>0.2591955401727104</v>
      </c>
      <c r="H35" s="4">
        <f t="shared" si="1"/>
        <v>0.19448966986267105</v>
      </c>
      <c r="I35" s="4">
        <f t="shared" si="2"/>
        <v>4.3157010591197293</v>
      </c>
      <c r="J35" s="4">
        <f t="shared" si="14"/>
        <v>1</v>
      </c>
      <c r="K35" s="4">
        <f t="shared" ca="1" si="24"/>
        <v>0.21755818047891751</v>
      </c>
      <c r="M35" s="6">
        <f t="shared" ca="1" si="15"/>
        <v>18372573.658972424</v>
      </c>
      <c r="N35" s="6">
        <f t="shared" ca="1" si="3"/>
        <v>2884448.27</v>
      </c>
      <c r="O35" s="4">
        <f t="shared" ca="1" si="16"/>
        <v>0.89489896890496157</v>
      </c>
      <c r="P35" s="6">
        <f t="shared" ca="1" si="4"/>
        <v>-464643.76166917273</v>
      </c>
      <c r="Q35" s="4">
        <f t="shared" si="5"/>
        <v>0.3305130104992493</v>
      </c>
      <c r="R35" s="7">
        <f t="shared" ca="1" si="6"/>
        <v>-39804.868658467509</v>
      </c>
      <c r="S35" s="7">
        <f ca="1">SUM($R$16:R35)</f>
        <v>-3386818.9321768577</v>
      </c>
      <c r="T35" s="7">
        <f t="shared" ca="1" si="17"/>
        <v>-3386818.9321768577</v>
      </c>
      <c r="U35" s="7"/>
      <c r="V35" s="7">
        <f t="shared" si="7"/>
        <v>79</v>
      </c>
      <c r="W35" s="159">
        <f t="shared" ca="1" si="8"/>
        <v>0.12511164171502467</v>
      </c>
      <c r="X35" s="160">
        <f t="shared" ca="1" si="18"/>
        <v>0.87488835828497535</v>
      </c>
      <c r="Y35" s="4">
        <f t="shared" ca="1" si="19"/>
        <v>0.22178521379852764</v>
      </c>
      <c r="Z35" s="4">
        <f t="shared" si="9"/>
        <v>0.19448966986267105</v>
      </c>
      <c r="AA35" s="4">
        <f t="shared" si="10"/>
        <v>4.3157010591197293</v>
      </c>
      <c r="AB35" s="160">
        <f t="shared" ca="1" si="20"/>
        <v>0.18615747608536801</v>
      </c>
      <c r="AC35" s="8">
        <f t="shared" si="29"/>
        <v>0</v>
      </c>
      <c r="AD35" s="8">
        <f t="shared" si="21"/>
        <v>0</v>
      </c>
      <c r="AE35" s="8">
        <f t="shared" ca="1" si="11"/>
        <v>0</v>
      </c>
      <c r="AF35" s="8">
        <f t="shared" ca="1" si="27"/>
        <v>-56.720921175418489</v>
      </c>
      <c r="AG35" s="8">
        <f t="shared" ca="1" si="28"/>
        <v>-56.720921175418489</v>
      </c>
    </row>
    <row r="36" spans="1:33" s="4" customFormat="1" ht="10.199999999999999">
      <c r="A36" s="4">
        <f t="shared" si="22"/>
        <v>20</v>
      </c>
      <c r="B36" s="9">
        <f t="shared" si="25"/>
        <v>53585</v>
      </c>
      <c r="C36" s="4">
        <f t="shared" si="12"/>
        <v>78</v>
      </c>
      <c r="D36" s="4">
        <f t="shared" ca="1" si="0"/>
        <v>0.11760450049949886</v>
      </c>
      <c r="E36" s="4">
        <f t="shared" ca="1" si="23"/>
        <v>0.88239549950050111</v>
      </c>
      <c r="F36" s="4">
        <f t="shared" ca="1" si="26"/>
        <v>0.2304180956843522</v>
      </c>
      <c r="G36" s="4">
        <f t="shared" ca="1" si="13"/>
        <v>0.2304180956843522</v>
      </c>
      <c r="H36" s="4">
        <f t="shared" si="1"/>
        <v>0.17843088978226704</v>
      </c>
      <c r="I36" s="4">
        <f t="shared" si="2"/>
        <v>4.6609571438493083</v>
      </c>
      <c r="J36" s="4">
        <f t="shared" si="14"/>
        <v>1</v>
      </c>
      <c r="K36" s="4">
        <f t="shared" ca="1" si="24"/>
        <v>0.19162922092127055</v>
      </c>
      <c r="M36" s="6">
        <f t="shared" ca="1" si="15"/>
        <v>18990495.454978716</v>
      </c>
      <c r="N36" s="6">
        <f t="shared" ca="1" si="3"/>
        <v>3115204.13</v>
      </c>
      <c r="O36" s="4">
        <f t="shared" ca="1" si="16"/>
        <v>0.88897399828259838</v>
      </c>
      <c r="P36" s="6">
        <f t="shared" ca="1" si="4"/>
        <v>-476258.73974936147</v>
      </c>
      <c r="Q36" s="4">
        <f t="shared" si="5"/>
        <v>0.31180472688608429</v>
      </c>
      <c r="R36" s="7">
        <f t="shared" ca="1" si="6"/>
        <v>-34217.024137854794</v>
      </c>
      <c r="S36" s="7">
        <f ca="1">SUM($R$16:R36)</f>
        <v>-3421035.9563147123</v>
      </c>
      <c r="T36" s="7">
        <f t="shared" ca="1" si="17"/>
        <v>-3421035.9563147123</v>
      </c>
      <c r="U36" s="7"/>
      <c r="V36" s="7">
        <f t="shared" si="7"/>
        <v>80</v>
      </c>
      <c r="W36" s="159">
        <f t="shared" ca="1" si="8"/>
        <v>0.13222666603471003</v>
      </c>
      <c r="X36" s="160">
        <f t="shared" ca="1" si="18"/>
        <v>0.86777333396528999</v>
      </c>
      <c r="Y36" s="4">
        <f t="shared" ca="1" si="19"/>
        <v>0.19403730159207611</v>
      </c>
      <c r="Z36" s="4">
        <f t="shared" si="9"/>
        <v>0.17843088978226704</v>
      </c>
      <c r="AA36" s="4">
        <f t="shared" si="10"/>
        <v>4.6609571438493083</v>
      </c>
      <c r="AB36" s="160">
        <f t="shared" ca="1" si="20"/>
        <v>0.16137281589503338</v>
      </c>
      <c r="AC36" s="8">
        <f t="shared" si="29"/>
        <v>0</v>
      </c>
      <c r="AD36" s="8">
        <f t="shared" si="21"/>
        <v>0</v>
      </c>
      <c r="AE36" s="8">
        <f t="shared" ca="1" si="11"/>
        <v>0</v>
      </c>
      <c r="AF36" s="8">
        <f t="shared" ca="1" si="27"/>
        <v>-61.543251135162834</v>
      </c>
      <c r="AG36" s="8">
        <f t="shared" ca="1" si="28"/>
        <v>-61.543251135162834</v>
      </c>
    </row>
    <row r="37" spans="1:33" s="4" customFormat="1" ht="10.199999999999999">
      <c r="A37" s="4">
        <f t="shared" si="22"/>
        <v>21</v>
      </c>
      <c r="B37" s="9">
        <f t="shared" si="25"/>
        <v>53950</v>
      </c>
      <c r="C37" s="4">
        <f t="shared" si="12"/>
        <v>79</v>
      </c>
      <c r="D37" s="4">
        <f t="shared" ca="1" si="0"/>
        <v>0.12511164171502467</v>
      </c>
      <c r="E37" s="4">
        <f t="shared" ca="1" si="23"/>
        <v>0.87488835828497535</v>
      </c>
      <c r="F37" s="4">
        <f t="shared" ca="1" si="26"/>
        <v>0.20331989063534822</v>
      </c>
      <c r="G37" s="4">
        <f t="shared" ca="1" si="13"/>
        <v>0.20331989063534822</v>
      </c>
      <c r="H37" s="4">
        <f t="shared" si="1"/>
        <v>0.16369806402042844</v>
      </c>
      <c r="I37" s="4">
        <f t="shared" si="2"/>
        <v>5.033833715357253</v>
      </c>
      <c r="J37" s="4">
        <f t="shared" si="14"/>
        <v>1</v>
      </c>
      <c r="K37" s="4">
        <f t="shared" ca="1" si="24"/>
        <v>0.16754145236955384</v>
      </c>
      <c r="M37" s="6">
        <f t="shared" ca="1" si="15"/>
        <v>19610330.689608164</v>
      </c>
      <c r="N37" s="6">
        <f t="shared" ca="1" si="3"/>
        <v>3364420.46</v>
      </c>
      <c r="O37" s="4">
        <f t="shared" ca="1" si="16"/>
        <v>0.88239549950050111</v>
      </c>
      <c r="P37" s="6">
        <f t="shared" ca="1" si="4"/>
        <v>-487377.30688824487</v>
      </c>
      <c r="Q37" s="4">
        <f t="shared" si="5"/>
        <v>0.29415540272272095</v>
      </c>
      <c r="R37" s="7">
        <f t="shared" ca="1" si="6"/>
        <v>-29148.888615810654</v>
      </c>
      <c r="S37" s="7">
        <f ca="1">SUM($R$16:R37)</f>
        <v>-3450184.8449305231</v>
      </c>
      <c r="T37" s="7">
        <f t="shared" ca="1" si="17"/>
        <v>-3450184.8449305231</v>
      </c>
      <c r="U37" s="7"/>
      <c r="V37" s="7">
        <f t="shared" si="7"/>
        <v>81</v>
      </c>
      <c r="W37" s="159">
        <f t="shared" ca="1" si="8"/>
        <v>0.13964631880304565</v>
      </c>
      <c r="X37" s="160">
        <f t="shared" ca="1" si="18"/>
        <v>0.86035368119695432</v>
      </c>
      <c r="Y37" s="4">
        <f t="shared" ca="1" si="19"/>
        <v>0.16838039611618436</v>
      </c>
      <c r="Z37" s="4">
        <f t="shared" si="9"/>
        <v>0.16369806402042844</v>
      </c>
      <c r="AA37" s="4">
        <f t="shared" si="10"/>
        <v>5.033833715357253</v>
      </c>
      <c r="AB37" s="160">
        <f t="shared" ca="1" si="20"/>
        <v>0.13875030144720002</v>
      </c>
      <c r="AC37" s="8">
        <f t="shared" si="29"/>
        <v>0</v>
      </c>
      <c r="AD37" s="8">
        <f t="shared" si="21"/>
        <v>0</v>
      </c>
      <c r="AE37" s="8">
        <f t="shared" ca="1" si="11"/>
        <v>0</v>
      </c>
      <c r="AF37" s="8">
        <f t="shared" ca="1" si="27"/>
        <v>-66.715835151967283</v>
      </c>
      <c r="AG37" s="8">
        <f t="shared" ca="1" si="28"/>
        <v>-66.715835151967283</v>
      </c>
    </row>
    <row r="38" spans="1:33" s="4" customFormat="1" ht="10.199999999999999">
      <c r="A38" s="4">
        <f t="shared" si="22"/>
        <v>22</v>
      </c>
      <c r="B38" s="9">
        <f t="shared" si="25"/>
        <v>54316</v>
      </c>
      <c r="C38" s="4">
        <f t="shared" si="12"/>
        <v>80</v>
      </c>
      <c r="D38" s="4">
        <f t="shared" ca="1" si="0"/>
        <v>0.13222666603471003</v>
      </c>
      <c r="E38" s="4">
        <f t="shared" ca="1" si="23"/>
        <v>0.86777333396528999</v>
      </c>
      <c r="F38" s="4">
        <f t="shared" ca="1" si="26"/>
        <v>0.17788220532464055</v>
      </c>
      <c r="G38" s="4">
        <f t="shared" ca="1" si="13"/>
        <v>0.17788220532464055</v>
      </c>
      <c r="H38" s="4">
        <f t="shared" si="1"/>
        <v>0.15018171011048481</v>
      </c>
      <c r="I38" s="4">
        <f t="shared" si="2"/>
        <v>5.4365404125858339</v>
      </c>
      <c r="J38" s="4">
        <f t="shared" si="14"/>
        <v>1</v>
      </c>
      <c r="K38" s="4">
        <f t="shared" ca="1" si="24"/>
        <v>0.14523529495866214</v>
      </c>
      <c r="M38" s="6">
        <f t="shared" ca="1" si="15"/>
        <v>20240344.933821715</v>
      </c>
      <c r="N38" s="6">
        <f t="shared" ca="1" si="3"/>
        <v>3633574.1</v>
      </c>
      <c r="O38" s="4">
        <f t="shared" ca="1" si="16"/>
        <v>0.87488835828497535</v>
      </c>
      <c r="P38" s="6">
        <f t="shared" ca="1" si="4"/>
        <v>-498203.12501465145</v>
      </c>
      <c r="Q38" s="4">
        <f t="shared" si="5"/>
        <v>0.27750509690822728</v>
      </c>
      <c r="R38" s="7">
        <f t="shared" ca="1" si="6"/>
        <v>-24592.909780684877</v>
      </c>
      <c r="S38" s="7">
        <f ca="1">SUM($R$16:R38)</f>
        <v>-3474777.7547112079</v>
      </c>
      <c r="T38" s="7">
        <f t="shared" ca="1" si="17"/>
        <v>-3474777.7547112079</v>
      </c>
      <c r="U38" s="7"/>
      <c r="V38" s="7">
        <f t="shared" si="7"/>
        <v>82</v>
      </c>
      <c r="W38" s="159">
        <f t="shared" ca="1" si="8"/>
        <v>0.150507535186755</v>
      </c>
      <c r="X38" s="160">
        <f t="shared" ca="1" si="18"/>
        <v>0.84949246481324503</v>
      </c>
      <c r="Y38" s="4">
        <f t="shared" ca="1" si="19"/>
        <v>0.14486669363996055</v>
      </c>
      <c r="Z38" s="4">
        <f t="shared" si="9"/>
        <v>0.15018171011048481</v>
      </c>
      <c r="AA38" s="4">
        <f t="shared" si="10"/>
        <v>5.4365404125858339</v>
      </c>
      <c r="AB38" s="160">
        <f t="shared" ca="1" si="20"/>
        <v>0.11827915525382431</v>
      </c>
      <c r="AC38" s="8">
        <f t="shared" si="29"/>
        <v>0</v>
      </c>
      <c r="AD38" s="8">
        <f t="shared" si="21"/>
        <v>0</v>
      </c>
      <c r="AE38" s="8">
        <f t="shared" ca="1" si="11"/>
        <v>0</v>
      </c>
      <c r="AF38" s="8">
        <f t="shared" ca="1" si="27"/>
        <v>-72.270654719806942</v>
      </c>
      <c r="AG38" s="8">
        <f t="shared" ca="1" si="28"/>
        <v>-72.270654719806942</v>
      </c>
    </row>
    <row r="39" spans="1:33" s="4" customFormat="1" ht="10.199999999999999">
      <c r="A39" s="4">
        <f t="shared" si="22"/>
        <v>23</v>
      </c>
      <c r="B39" s="9">
        <f t="shared" si="25"/>
        <v>54681</v>
      </c>
      <c r="C39" s="4">
        <f t="shared" si="12"/>
        <v>81</v>
      </c>
      <c r="D39" s="4">
        <f t="shared" ca="1" si="0"/>
        <v>0.13964631880304565</v>
      </c>
      <c r="E39" s="4">
        <f t="shared" ca="1" si="23"/>
        <v>0.86035368119695432</v>
      </c>
      <c r="F39" s="4">
        <f t="shared" ca="1" si="26"/>
        <v>0.15436143436766159</v>
      </c>
      <c r="G39" s="4">
        <f t="shared" ca="1" si="13"/>
        <v>0.15436143436766159</v>
      </c>
      <c r="H39" s="4">
        <f t="shared" si="1"/>
        <v>0.13778138542246313</v>
      </c>
      <c r="I39" s="4">
        <f t="shared" si="2"/>
        <v>5.8714636455927014</v>
      </c>
      <c r="J39" s="4">
        <f t="shared" si="14"/>
        <v>1</v>
      </c>
      <c r="K39" s="4">
        <f t="shared" ca="1" si="24"/>
        <v>0.12487506550914439</v>
      </c>
      <c r="M39" s="6">
        <f t="shared" ca="1" si="15"/>
        <v>20859571.849426877</v>
      </c>
      <c r="N39" s="6">
        <f t="shared" ca="1" si="3"/>
        <v>3924260.03</v>
      </c>
      <c r="O39" s="4">
        <f t="shared" ca="1" si="16"/>
        <v>0.86777333396528999</v>
      </c>
      <c r="P39" s="6">
        <f t="shared" ca="1" si="4"/>
        <v>-508059.35458280623</v>
      </c>
      <c r="Q39" s="4">
        <f t="shared" si="5"/>
        <v>0.26179726123417668</v>
      </c>
      <c r="R39" s="7">
        <f t="shared" ca="1" si="6"/>
        <v>-20531.390186710109</v>
      </c>
      <c r="S39" s="7">
        <f ca="1">SUM($R$16:R39)</f>
        <v>-3495309.1448979182</v>
      </c>
      <c r="T39" s="7">
        <f t="shared" ca="1" si="17"/>
        <v>-3495309.1448979182</v>
      </c>
      <c r="U39" s="7"/>
      <c r="V39" s="7">
        <f t="shared" si="7"/>
        <v>83</v>
      </c>
      <c r="W39" s="159">
        <f t="shared" ca="1" si="8"/>
        <v>0.16404189255931209</v>
      </c>
      <c r="X39" s="160">
        <f t="shared" ca="1" si="18"/>
        <v>0.83595810744068788</v>
      </c>
      <c r="Y39" s="4">
        <f t="shared" ca="1" si="19"/>
        <v>0.12306316464955533</v>
      </c>
      <c r="Z39" s="4">
        <f t="shared" si="9"/>
        <v>0.13778138542246313</v>
      </c>
      <c r="AA39" s="4">
        <f t="shared" si="10"/>
        <v>5.8714636455927014</v>
      </c>
      <c r="AB39" s="160">
        <f t="shared" ca="1" si="20"/>
        <v>9.9555441489181357E-2</v>
      </c>
      <c r="AC39" s="8">
        <f t="shared" si="29"/>
        <v>0</v>
      </c>
      <c r="AD39" s="8">
        <f t="shared" si="21"/>
        <v>0</v>
      </c>
      <c r="AE39" s="8">
        <f t="shared" ca="1" si="11"/>
        <v>0</v>
      </c>
      <c r="AF39" s="8">
        <f t="shared" ca="1" si="27"/>
        <v>-78.241673806888826</v>
      </c>
      <c r="AG39" s="8">
        <f t="shared" ca="1" si="28"/>
        <v>-78.241673806888826</v>
      </c>
    </row>
    <row r="40" spans="1:33" s="4" customFormat="1" ht="10.199999999999999">
      <c r="A40" s="4">
        <f t="shared" si="22"/>
        <v>24</v>
      </c>
      <c r="B40" s="9">
        <f t="shared" si="25"/>
        <v>55046</v>
      </c>
      <c r="C40" s="4">
        <f t="shared" si="12"/>
        <v>82</v>
      </c>
      <c r="D40" s="4">
        <f t="shared" ca="1" si="0"/>
        <v>0.150507535186755</v>
      </c>
      <c r="E40" s="4">
        <f t="shared" ca="1" si="23"/>
        <v>0.84949246481324503</v>
      </c>
      <c r="F40" s="4">
        <f t="shared" ca="1" si="26"/>
        <v>0.13280542829305972</v>
      </c>
      <c r="G40" s="4">
        <f t="shared" ca="1" si="13"/>
        <v>0.13280542829305972</v>
      </c>
      <c r="H40" s="4">
        <f t="shared" si="1"/>
        <v>0.12640494075455333</v>
      </c>
      <c r="I40" s="4">
        <f t="shared" si="2"/>
        <v>6.3411807372401183</v>
      </c>
      <c r="J40" s="4">
        <f t="shared" si="14"/>
        <v>1</v>
      </c>
      <c r="K40" s="4">
        <f t="shared" ca="1" si="24"/>
        <v>0.10645106429774631</v>
      </c>
      <c r="M40" s="6">
        <f t="shared" ca="1" si="15"/>
        <v>21455699.309025798</v>
      </c>
      <c r="N40" s="6">
        <f t="shared" ca="1" si="3"/>
        <v>4238200.83</v>
      </c>
      <c r="O40" s="4">
        <f t="shared" ca="1" si="16"/>
        <v>0.86035368119695432</v>
      </c>
      <c r="P40" s="6">
        <f t="shared" ca="1" si="4"/>
        <v>-516524.95437077386</v>
      </c>
      <c r="Q40" s="4">
        <f t="shared" si="5"/>
        <v>0.24697854833412897</v>
      </c>
      <c r="R40" s="7">
        <f t="shared" ca="1" si="6"/>
        <v>-16942.06596720728</v>
      </c>
      <c r="S40" s="7">
        <f ca="1">SUM($R$16:R40)</f>
        <v>-3512251.2108651255</v>
      </c>
      <c r="T40" s="7">
        <f t="shared" ca="1" si="17"/>
        <v>-3512251.2108651255</v>
      </c>
      <c r="U40" s="7"/>
      <c r="V40" s="7">
        <f t="shared" si="7"/>
        <v>84</v>
      </c>
      <c r="W40" s="159">
        <f t="shared" ca="1" si="8"/>
        <v>0.17082488241074548</v>
      </c>
      <c r="X40" s="160">
        <f t="shared" ca="1" si="18"/>
        <v>0.82917511758925455</v>
      </c>
      <c r="Y40" s="4">
        <f t="shared" ca="1" si="19"/>
        <v>0.10287565021610404</v>
      </c>
      <c r="Z40" s="4">
        <f t="shared" si="9"/>
        <v>0.12640494075455333</v>
      </c>
      <c r="AA40" s="4">
        <f t="shared" si="10"/>
        <v>6.3411807372401183</v>
      </c>
      <c r="AB40" s="160">
        <f t="shared" ca="1" si="20"/>
        <v>8.2460653879757484E-2</v>
      </c>
      <c r="AC40" s="8">
        <f t="shared" si="29"/>
        <v>0</v>
      </c>
      <c r="AD40" s="8">
        <f t="shared" si="21"/>
        <v>0</v>
      </c>
      <c r="AE40" s="8">
        <f t="shared" ca="1" si="11"/>
        <v>0</v>
      </c>
      <c r="AF40" s="8">
        <f t="shared" ca="1" si="27"/>
        <v>-84.665315198008713</v>
      </c>
      <c r="AG40" s="8">
        <f t="shared" ca="1" si="28"/>
        <v>-84.665315198008713</v>
      </c>
    </row>
    <row r="41" spans="1:33" s="4" customFormat="1" ht="10.199999999999999">
      <c r="A41" s="4">
        <f t="shared" si="22"/>
        <v>25</v>
      </c>
      <c r="B41" s="9">
        <f t="shared" si="25"/>
        <v>55411</v>
      </c>
      <c r="C41" s="4">
        <f t="shared" si="12"/>
        <v>83</v>
      </c>
      <c r="D41" s="4">
        <f t="shared" ca="1" si="0"/>
        <v>0.16404189255931209</v>
      </c>
      <c r="E41" s="4">
        <f t="shared" ca="1" si="23"/>
        <v>0.83595810744068788</v>
      </c>
      <c r="F41" s="4">
        <f t="shared" ca="1" si="26"/>
        <v>0.11281721062124997</v>
      </c>
      <c r="G41" s="4">
        <f t="shared" ca="1" si="13"/>
        <v>0.11281721062124997</v>
      </c>
      <c r="H41" s="4">
        <f t="shared" si="1"/>
        <v>0.11596783555463605</v>
      </c>
      <c r="I41" s="4">
        <f t="shared" si="2"/>
        <v>6.8484751962193284</v>
      </c>
      <c r="J41" s="4">
        <f t="shared" si="14"/>
        <v>1</v>
      </c>
      <c r="K41" s="4">
        <f t="shared" ca="1" si="24"/>
        <v>8.9599749680429885E-2</v>
      </c>
      <c r="M41" s="6">
        <f t="shared" ca="1" si="15"/>
        <v>22092101.012648687</v>
      </c>
      <c r="N41" s="6">
        <f t="shared" ca="1" si="3"/>
        <v>4577256.9000000004</v>
      </c>
      <c r="O41" s="4">
        <f t="shared" ca="1" si="16"/>
        <v>0.84949246481324503</v>
      </c>
      <c r="P41" s="6">
        <f t="shared" ca="1" si="4"/>
        <v>-525445.32337946061</v>
      </c>
      <c r="Q41" s="4">
        <f t="shared" si="5"/>
        <v>0.23299863050389524</v>
      </c>
      <c r="R41" s="7">
        <f t="shared" ca="1" si="6"/>
        <v>-13811.990059475591</v>
      </c>
      <c r="S41" s="7">
        <f ca="1">SUM($R$16:R41)</f>
        <v>-3526063.2009246009</v>
      </c>
      <c r="T41" s="7">
        <f t="shared" ca="1" si="17"/>
        <v>-3526063.2009246009</v>
      </c>
      <c r="U41" s="7"/>
      <c r="V41" s="7">
        <f t="shared" si="7"/>
        <v>85</v>
      </c>
      <c r="W41" s="159">
        <f t="shared" ca="1" si="8"/>
        <v>0.1834727604569536</v>
      </c>
      <c r="X41" s="160">
        <f t="shared" ca="1" si="18"/>
        <v>0.8165272395430464</v>
      </c>
      <c r="Y41" s="4">
        <f t="shared" ca="1" si="19"/>
        <v>8.5301929365009091E-2</v>
      </c>
      <c r="Z41" s="4">
        <f t="shared" si="9"/>
        <v>0.11596783555463605</v>
      </c>
      <c r="AA41" s="4">
        <f t="shared" si="10"/>
        <v>6.8484751962193284</v>
      </c>
      <c r="AB41" s="160">
        <f t="shared" ca="1" si="20"/>
        <v>6.774703501597569E-2</v>
      </c>
      <c r="AC41" s="8">
        <f t="shared" si="29"/>
        <v>0</v>
      </c>
      <c r="AD41" s="8">
        <f t="shared" si="21"/>
        <v>0</v>
      </c>
      <c r="AE41" s="8">
        <f t="shared" ca="1" si="11"/>
        <v>0</v>
      </c>
      <c r="AF41" s="8">
        <f t="shared" ca="1" si="27"/>
        <v>-91.581537429244008</v>
      </c>
      <c r="AG41" s="8">
        <f ca="1">AF41+AE41</f>
        <v>-91.581537429244008</v>
      </c>
    </row>
    <row r="42" spans="1:33" s="4" customFormat="1" ht="10.199999999999999">
      <c r="A42" s="4">
        <f t="shared" si="22"/>
        <v>26</v>
      </c>
      <c r="B42" s="9">
        <f t="shared" si="25"/>
        <v>55777</v>
      </c>
      <c r="C42" s="4">
        <f t="shared" si="12"/>
        <v>84</v>
      </c>
      <c r="D42" s="4">
        <f t="shared" ca="1" si="0"/>
        <v>0.17082488241074548</v>
      </c>
      <c r="E42" s="4">
        <f t="shared" ca="1" si="23"/>
        <v>0.82917511758925455</v>
      </c>
      <c r="F42" s="4">
        <f t="shared" ca="1" si="26"/>
        <v>9.4310461877677595E-2</v>
      </c>
      <c r="G42" s="4">
        <f t="shared" ca="1" si="13"/>
        <v>9.4310461877677595E-2</v>
      </c>
      <c r="H42" s="4">
        <f t="shared" si="1"/>
        <v>0.10639250968315234</v>
      </c>
      <c r="I42" s="4">
        <f t="shared" si="2"/>
        <v>7.3963532119168756</v>
      </c>
      <c r="J42" s="4">
        <f t="shared" si="14"/>
        <v>1</v>
      </c>
      <c r="K42" s="4">
        <f t="shared" ca="1" si="24"/>
        <v>7.4214466186800429E-2</v>
      </c>
      <c r="M42" s="6">
        <f t="shared" ca="1" si="15"/>
        <v>22837484.214652002</v>
      </c>
      <c r="N42" s="6">
        <f t="shared" ca="1" si="3"/>
        <v>4943437.45</v>
      </c>
      <c r="O42" s="4">
        <f t="shared" ca="1" si="16"/>
        <v>0.83595810744068788</v>
      </c>
      <c r="P42" s="6">
        <f t="shared" ca="1" si="4"/>
        <v>-536821.40293956001</v>
      </c>
      <c r="Q42" s="4">
        <f t="shared" si="5"/>
        <v>0.21981002877725966</v>
      </c>
      <c r="R42" s="7">
        <f t="shared" ca="1" si="6"/>
        <v>-11128.514541336259</v>
      </c>
      <c r="S42" s="7">
        <f ca="1">SUM($R$16:R42)</f>
        <v>-3537191.7154659373</v>
      </c>
      <c r="T42" s="7">
        <f t="shared" ca="1" si="17"/>
        <v>-3537191.7154659373</v>
      </c>
      <c r="U42" s="7"/>
      <c r="V42" s="7">
        <f t="shared" si="7"/>
        <v>86</v>
      </c>
      <c r="W42" s="159">
        <f t="shared" ca="1" si="8"/>
        <v>0.19264639847980128</v>
      </c>
      <c r="X42" s="160">
        <f t="shared" ca="1" si="18"/>
        <v>0.80735360152019875</v>
      </c>
      <c r="Y42" s="4">
        <f t="shared" ca="1" si="19"/>
        <v>6.9651348912106809E-2</v>
      </c>
      <c r="Z42" s="4">
        <f t="shared" si="9"/>
        <v>0.10639250968315234</v>
      </c>
      <c r="AA42" s="4">
        <f t="shared" si="10"/>
        <v>7.3963532119168756</v>
      </c>
      <c r="AB42" s="160">
        <f t="shared" ca="1" si="20"/>
        <v>5.4809801328372848E-2</v>
      </c>
      <c r="AC42" s="8">
        <f t="shared" si="29"/>
        <v>0</v>
      </c>
      <c r="AD42" s="8">
        <f t="shared" si="21"/>
        <v>0</v>
      </c>
      <c r="AE42" s="8">
        <f t="shared" ca="1" si="11"/>
        <v>0</v>
      </c>
      <c r="AF42" s="8">
        <f t="shared" ca="1" si="27"/>
        <v>-99.032700442489258</v>
      </c>
      <c r="AG42" s="8">
        <f t="shared" ca="1" si="28"/>
        <v>-99.032700442489258</v>
      </c>
    </row>
    <row r="43" spans="1:33" s="4" customFormat="1" ht="10.199999999999999">
      <c r="A43" s="4">
        <f t="shared" si="22"/>
        <v>27</v>
      </c>
      <c r="B43" s="9">
        <f t="shared" si="25"/>
        <v>56142</v>
      </c>
      <c r="C43" s="4">
        <f t="shared" si="12"/>
        <v>85</v>
      </c>
      <c r="D43" s="4">
        <f t="shared" ca="1" si="0"/>
        <v>0.1834727604569536</v>
      </c>
      <c r="E43" s="4">
        <f t="shared" ca="1" si="23"/>
        <v>0.8165272395430464</v>
      </c>
      <c r="F43" s="4">
        <f t="shared" ca="1" si="26"/>
        <v>7.8199888317320235E-2</v>
      </c>
      <c r="G43" s="4">
        <f t="shared" ca="1" si="13"/>
        <v>7.8199888317320235E-2</v>
      </c>
      <c r="H43" s="4">
        <f t="shared" si="1"/>
        <v>9.7607807048763609E-2</v>
      </c>
      <c r="I43" s="4">
        <f t="shared" si="2"/>
        <v>7.9880614688702263</v>
      </c>
      <c r="J43" s="4">
        <f t="shared" si="14"/>
        <v>1</v>
      </c>
      <c r="K43" s="4">
        <f t="shared" ca="1" si="24"/>
        <v>6.0972231032518476E-2</v>
      </c>
      <c r="M43" s="6">
        <f t="shared" ca="1" si="15"/>
        <v>23522788.563865904</v>
      </c>
      <c r="N43" s="6">
        <f t="shared" ca="1" si="3"/>
        <v>5338912.45</v>
      </c>
      <c r="O43" s="4">
        <f t="shared" ca="1" si="16"/>
        <v>0.82917511758925455</v>
      </c>
      <c r="P43" s="6">
        <f t="shared" ca="1" si="4"/>
        <v>-545516.28341597714</v>
      </c>
      <c r="Q43" s="4">
        <f t="shared" si="5"/>
        <v>0.20736795167666003</v>
      </c>
      <c r="R43" s="7">
        <f t="shared" ca="1" si="6"/>
        <v>-8846.1742402875461</v>
      </c>
      <c r="S43" s="7">
        <f ca="1">SUM($R$16:R43)</f>
        <v>-3546037.8897062247</v>
      </c>
      <c r="T43" s="7">
        <f t="shared" ca="1" si="17"/>
        <v>-3546037.8897062247</v>
      </c>
      <c r="U43" s="7"/>
      <c r="V43" s="7">
        <f t="shared" si="7"/>
        <v>87</v>
      </c>
      <c r="W43" s="159">
        <f t="shared" ca="1" si="8"/>
        <v>0.20227856029213981</v>
      </c>
      <c r="X43" s="160">
        <f t="shared" ca="1" si="18"/>
        <v>0.79772143970786025</v>
      </c>
      <c r="Y43" s="4">
        <f t="shared" ca="1" si="19"/>
        <v>5.6233267394929412E-2</v>
      </c>
      <c r="Z43" s="4">
        <f t="shared" si="9"/>
        <v>9.7607807048763609E-2</v>
      </c>
      <c r="AA43" s="4">
        <f t="shared" si="10"/>
        <v>7.9880614688702263</v>
      </c>
      <c r="AB43" s="160">
        <f t="shared" ca="1" si="20"/>
        <v>4.3844919028581529E-2</v>
      </c>
      <c r="AC43" s="8">
        <f t="shared" si="29"/>
        <v>0</v>
      </c>
      <c r="AD43" s="8">
        <f t="shared" si="21"/>
        <v>0</v>
      </c>
      <c r="AE43" s="8">
        <f t="shared" ca="1" si="11"/>
        <v>0</v>
      </c>
      <c r="AF43" s="8">
        <f t="shared" ca="1" si="27"/>
        <v>-107.06460683038807</v>
      </c>
      <c r="AG43" s="8">
        <f t="shared" ca="1" si="28"/>
        <v>-107.06460683038807</v>
      </c>
    </row>
    <row r="44" spans="1:33" s="4" customFormat="1" ht="10.199999999999999">
      <c r="A44" s="4">
        <f t="shared" si="22"/>
        <v>28</v>
      </c>
      <c r="B44" s="9">
        <f t="shared" si="25"/>
        <v>56507</v>
      </c>
      <c r="C44" s="4">
        <f t="shared" si="12"/>
        <v>86</v>
      </c>
      <c r="D44" s="4">
        <f t="shared" ca="1" si="0"/>
        <v>0.19264639847980128</v>
      </c>
      <c r="E44" s="4">
        <f t="shared" ca="1" si="23"/>
        <v>0.80735360152019875</v>
      </c>
      <c r="F44" s="4">
        <f t="shared" ca="1" si="26"/>
        <v>6.3852338940316014E-2</v>
      </c>
      <c r="G44" s="4">
        <f t="shared" ca="1" si="13"/>
        <v>6.3852338940316014E-2</v>
      </c>
      <c r="H44" s="4">
        <f t="shared" si="1"/>
        <v>8.954844683372809E-2</v>
      </c>
      <c r="I44" s="4">
        <f t="shared" si="2"/>
        <v>8.6271063863798449</v>
      </c>
      <c r="J44" s="4">
        <f t="shared" si="14"/>
        <v>1</v>
      </c>
      <c r="K44" s="4">
        <f t="shared" ca="1" si="24"/>
        <v>4.9328739902077291E-2</v>
      </c>
      <c r="M44" s="6">
        <f t="shared" ca="1" si="15"/>
        <v>24274052.357648171</v>
      </c>
      <c r="N44" s="6">
        <f t="shared" ca="1" si="3"/>
        <v>5766025.4400000004</v>
      </c>
      <c r="O44" s="4">
        <f t="shared" ca="1" si="16"/>
        <v>0.8165272395430464</v>
      </c>
      <c r="P44" s="6">
        <f t="shared" ca="1" si="4"/>
        <v>-555240.80752944504</v>
      </c>
      <c r="Q44" s="4">
        <f t="shared" si="5"/>
        <v>0.1956301430911887</v>
      </c>
      <c r="R44" s="7">
        <f t="shared" ca="1" si="6"/>
        <v>-6935.7584563348655</v>
      </c>
      <c r="S44" s="7">
        <f ca="1">SUM($R$16:R44)</f>
        <v>-3552973.6481625596</v>
      </c>
      <c r="T44" s="7">
        <f t="shared" ca="1" si="17"/>
        <v>-3552973.6481625596</v>
      </c>
      <c r="U44" s="7"/>
      <c r="V44" s="7">
        <f t="shared" si="7"/>
        <v>88</v>
      </c>
      <c r="W44" s="159">
        <f t="shared" ca="1" si="8"/>
        <v>0.21239243560286294</v>
      </c>
      <c r="X44" s="160">
        <f t="shared" ca="1" si="18"/>
        <v>0.78760756439713708</v>
      </c>
      <c r="Y44" s="4">
        <f t="shared" ca="1" si="19"/>
        <v>4.4858483025760169E-2</v>
      </c>
      <c r="Z44" s="4">
        <f t="shared" si="9"/>
        <v>8.954844683372809E-2</v>
      </c>
      <c r="AA44" s="4">
        <f t="shared" si="10"/>
        <v>8.6271063863798449</v>
      </c>
      <c r="AB44" s="160">
        <f t="shared" ca="1" si="20"/>
        <v>3.4655150904461467E-2</v>
      </c>
      <c r="AC44" s="8">
        <f t="shared" si="29"/>
        <v>0</v>
      </c>
      <c r="AD44" s="8">
        <f t="shared" si="21"/>
        <v>0</v>
      </c>
      <c r="AE44" s="8">
        <f t="shared" ca="1" si="11"/>
        <v>0</v>
      </c>
      <c r="AF44" s="8">
        <f t="shared" ca="1" si="27"/>
        <v>-115.72636836767238</v>
      </c>
      <c r="AG44" s="8">
        <f t="shared" ca="1" si="28"/>
        <v>-115.72636836767238</v>
      </c>
    </row>
    <row r="45" spans="1:33" s="4" customFormat="1" ht="10.199999999999999">
      <c r="A45" s="4">
        <f t="shared" si="22"/>
        <v>29</v>
      </c>
      <c r="B45" s="9">
        <f t="shared" si="25"/>
        <v>56872</v>
      </c>
      <c r="C45" s="4">
        <f t="shared" si="12"/>
        <v>87</v>
      </c>
      <c r="D45" s="4">
        <f t="shared" ca="1" si="0"/>
        <v>0.20227856029213981</v>
      </c>
      <c r="E45" s="4">
        <f t="shared" ca="1" si="23"/>
        <v>0.79772143970786025</v>
      </c>
      <c r="F45" s="4">
        <f t="shared" ca="1" si="26"/>
        <v>5.1551415808952568E-2</v>
      </c>
      <c r="G45" s="4">
        <f t="shared" ca="1" si="13"/>
        <v>5.1551415808952568E-2</v>
      </c>
      <c r="H45" s="4">
        <f t="shared" si="1"/>
        <v>8.2154538379567044E-2</v>
      </c>
      <c r="I45" s="4">
        <f t="shared" si="2"/>
        <v>9.3172748972902326</v>
      </c>
      <c r="J45" s="4">
        <f t="shared" si="14"/>
        <v>1</v>
      </c>
      <c r="K45" s="4">
        <f t="shared" ca="1" si="24"/>
        <v>3.9460362095290684E-2</v>
      </c>
      <c r="M45" s="6">
        <f t="shared" ca="1" si="15"/>
        <v>24987501.51389743</v>
      </c>
      <c r="N45" s="6">
        <f t="shared" ca="1" si="3"/>
        <v>6227307.4800000004</v>
      </c>
      <c r="O45" s="4">
        <f t="shared" ca="1" si="16"/>
        <v>0.80735360152019875</v>
      </c>
      <c r="P45" s="6">
        <f t="shared" ca="1" si="4"/>
        <v>-562805.82101692283</v>
      </c>
      <c r="Q45" s="4">
        <f t="shared" si="5"/>
        <v>0.18455673876527234</v>
      </c>
      <c r="R45" s="7">
        <f t="shared" ca="1" si="6"/>
        <v>-5354.6252944408125</v>
      </c>
      <c r="S45" s="7">
        <f ca="1">SUM($R$16:R45)</f>
        <v>-3558328.2734570005</v>
      </c>
      <c r="T45" s="7">
        <f t="shared" ca="1" si="17"/>
        <v>-3558328.2734570005</v>
      </c>
      <c r="U45" s="7"/>
      <c r="V45" s="7">
        <f t="shared" si="7"/>
        <v>89</v>
      </c>
      <c r="W45" s="159">
        <f t="shared" ca="1" si="8"/>
        <v>0.22301226819854147</v>
      </c>
      <c r="X45" s="160">
        <f t="shared" ca="1" si="18"/>
        <v>0.77698773180145853</v>
      </c>
      <c r="Y45" s="4">
        <f t="shared" ca="1" si="19"/>
        <v>3.5330880558469287E-2</v>
      </c>
      <c r="Z45" s="4">
        <f t="shared" si="9"/>
        <v>8.2154538379567044E-2</v>
      </c>
      <c r="AA45" s="4">
        <f t="shared" si="10"/>
        <v>9.3172748972902326</v>
      </c>
      <c r="AB45" s="160">
        <f t="shared" ca="1" si="20"/>
        <v>2.7044249282103104E-2</v>
      </c>
      <c r="AC45" s="8">
        <f t="shared" si="29"/>
        <v>0</v>
      </c>
      <c r="AD45" s="8">
        <f t="shared" si="21"/>
        <v>0</v>
      </c>
      <c r="AE45" s="8">
        <f t="shared" ca="1" si="11"/>
        <v>0</v>
      </c>
      <c r="AF45" s="8">
        <f t="shared" ca="1" si="27"/>
        <v>-125.07068751424471</v>
      </c>
      <c r="AG45" s="8">
        <f t="shared" ca="1" si="28"/>
        <v>-125.07068751424471</v>
      </c>
    </row>
    <row r="46" spans="1:33" s="4" customFormat="1" ht="10.199999999999999">
      <c r="A46" s="4">
        <f t="shared" si="22"/>
        <v>30</v>
      </c>
      <c r="B46" s="9">
        <f t="shared" si="25"/>
        <v>57238</v>
      </c>
      <c r="C46" s="4">
        <f t="shared" si="12"/>
        <v>88</v>
      </c>
      <c r="D46" s="4">
        <f t="shared" ca="1" si="0"/>
        <v>0.21239243560286294</v>
      </c>
      <c r="E46" s="4">
        <f t="shared" ca="1" si="23"/>
        <v>0.78760756439713708</v>
      </c>
      <c r="F46" s="4">
        <f t="shared" ca="1" si="26"/>
        <v>4.1123669638096189E-2</v>
      </c>
      <c r="G46" s="4">
        <f t="shared" ca="1" si="13"/>
        <v>4.1123669638096189E-2</v>
      </c>
      <c r="H46" s="4">
        <f t="shared" si="1"/>
        <v>7.5371136128043151E-2</v>
      </c>
      <c r="I46" s="4">
        <f t="shared" si="2"/>
        <v>10.062656889073452</v>
      </c>
      <c r="J46" s="4">
        <f t="shared" si="14"/>
        <v>1</v>
      </c>
      <c r="K46" s="4">
        <f t="shared" ca="1" si="24"/>
        <v>3.1189584413773088E-2</v>
      </c>
      <c r="M46" s="6">
        <f t="shared" ca="1" si="15"/>
        <v>25633774.497068606</v>
      </c>
      <c r="N46" s="6">
        <f t="shared" ca="1" si="3"/>
        <v>6725492.0700000003</v>
      </c>
      <c r="O46" s="4">
        <f t="shared" ca="1" si="16"/>
        <v>0.79772143970786025</v>
      </c>
      <c r="P46" s="6">
        <f t="shared" ca="1" si="4"/>
        <v>-567248.47281205817</v>
      </c>
      <c r="Q46" s="4">
        <f t="shared" si="5"/>
        <v>0.17411013091063426</v>
      </c>
      <c r="R46" s="7">
        <f t="shared" ca="1" si="6"/>
        <v>-4061.5260120275225</v>
      </c>
      <c r="S46" s="7">
        <f ca="1">SUM($R$16:R46)</f>
        <v>-3562389.7994690281</v>
      </c>
      <c r="T46" s="7">
        <f t="shared" ca="1" si="17"/>
        <v>-3562389.7994690281</v>
      </c>
      <c r="U46" s="7"/>
      <c r="V46" s="7">
        <f t="shared" si="7"/>
        <v>90</v>
      </c>
      <c r="W46" s="159">
        <f t="shared" ca="1" si="8"/>
        <v>0.23416230186574624</v>
      </c>
      <c r="X46" s="160">
        <f t="shared" ca="1" si="18"/>
        <v>0.76583769813425373</v>
      </c>
      <c r="Y46" s="4">
        <f t="shared" ca="1" si="19"/>
        <v>2.7451660747673301E-2</v>
      </c>
      <c r="Z46" s="4">
        <f t="shared" si="9"/>
        <v>7.5371136128043151E-2</v>
      </c>
      <c r="AA46" s="4">
        <f t="shared" si="10"/>
        <v>10.062656889073452</v>
      </c>
      <c r="AB46" s="160">
        <f t="shared" ca="1" si="20"/>
        <v>2.082026963358943E-2</v>
      </c>
      <c r="AC46" s="8">
        <f t="shared" si="29"/>
        <v>0</v>
      </c>
      <c r="AD46" s="8">
        <f t="shared" si="21"/>
        <v>0</v>
      </c>
      <c r="AE46" s="8">
        <f t="shared" ca="1" si="11"/>
        <v>0</v>
      </c>
      <c r="AF46" s="8">
        <f t="shared" ca="1" si="27"/>
        <v>-135.15416467295177</v>
      </c>
      <c r="AG46" s="8">
        <f t="shared" ca="1" si="28"/>
        <v>-135.15416467295177</v>
      </c>
    </row>
    <row r="47" spans="1:33" s="4" customFormat="1" ht="10.199999999999999">
      <c r="A47" s="4">
        <f t="shared" si="22"/>
        <v>31</v>
      </c>
      <c r="B47" s="9">
        <f t="shared" si="25"/>
        <v>57603</v>
      </c>
      <c r="C47" s="4">
        <f t="shared" ref="C47:C78" si="30">(B47&gt;0)*ROUNDDOWN(YEARFRAC(VALUE(d_birth),B47),0)</f>
        <v>89</v>
      </c>
      <c r="D47" s="4">
        <f t="shared" ref="D47:D94" ca="1" si="31">(B47&gt;0)*VLOOKUP(C47,mort,pol+1,0)/1000</f>
        <v>0.22301226819854147</v>
      </c>
      <c r="E47" s="4">
        <f t="shared" ca="1" si="23"/>
        <v>0.77698773180145853</v>
      </c>
      <c r="F47" s="4">
        <f t="shared" ca="1" si="26"/>
        <v>3.2389313282733437E-2</v>
      </c>
      <c r="G47" s="4">
        <f t="shared" ca="1" si="13"/>
        <v>3.2389313282733437E-2</v>
      </c>
      <c r="H47" s="4">
        <f t="shared" si="1"/>
        <v>6.914783131013133E-2</v>
      </c>
      <c r="I47" s="4">
        <f t="shared" si="2"/>
        <v>10.867669440199329</v>
      </c>
      <c r="J47" s="4">
        <f t="shared" si="14"/>
        <v>1</v>
      </c>
      <c r="K47" s="4">
        <f t="shared" ca="1" si="24"/>
        <v>2.4339784242078888E-2</v>
      </c>
      <c r="M47" s="6">
        <f t="shared" ca="1" si="15"/>
        <v>26167889.666321874</v>
      </c>
      <c r="N47" s="6">
        <f t="shared" ca="1" si="3"/>
        <v>7263531.4400000004</v>
      </c>
      <c r="O47" s="4">
        <f t="shared" ca="1" si="16"/>
        <v>0.78760756439713708</v>
      </c>
      <c r="P47" s="6">
        <f t="shared" ca="1" si="4"/>
        <v>-567130.74678965611</v>
      </c>
      <c r="Q47" s="4">
        <f t="shared" si="5"/>
        <v>0.16425484048173042</v>
      </c>
      <c r="R47" s="7">
        <f t="shared" ca="1" si="6"/>
        <v>-3017.1931290741672</v>
      </c>
      <c r="S47" s="7">
        <f ca="1">SUM($R$16:R47)</f>
        <v>-3565406.9925981024</v>
      </c>
      <c r="T47" s="7">
        <f t="shared" ca="1" si="17"/>
        <v>-3565406.9925981024</v>
      </c>
      <c r="U47" s="7"/>
      <c r="V47" s="7">
        <f t="shared" si="7"/>
        <v>91</v>
      </c>
      <c r="W47" s="159">
        <f t="shared" ca="1" si="8"/>
        <v>0.25816470464849522</v>
      </c>
      <c r="X47" s="160">
        <f t="shared" ca="1" si="18"/>
        <v>0.74183529535150483</v>
      </c>
      <c r="Y47" s="4">
        <f t="shared" ca="1" si="19"/>
        <v>2.1023516676960567E-2</v>
      </c>
      <c r="Z47" s="4">
        <f t="shared" si="9"/>
        <v>6.914783131013133E-2</v>
      </c>
      <c r="AA47" s="4">
        <f t="shared" si="10"/>
        <v>10.867669440199329</v>
      </c>
      <c r="AB47" s="160">
        <f t="shared" ca="1" si="20"/>
        <v>1.5798663449890313E-2</v>
      </c>
      <c r="AC47" s="8">
        <f t="shared" si="29"/>
        <v>0</v>
      </c>
      <c r="AD47" s="8">
        <f t="shared" si="21"/>
        <v>0</v>
      </c>
      <c r="AE47" s="8">
        <f t="shared" ca="1" si="11"/>
        <v>0</v>
      </c>
      <c r="AF47" s="8">
        <f t="shared" ca="1" si="27"/>
        <v>-146.03763277660099</v>
      </c>
      <c r="AG47" s="8">
        <f t="shared" ca="1" si="28"/>
        <v>-146.03763277660099</v>
      </c>
    </row>
    <row r="48" spans="1:33" s="4" customFormat="1" ht="10.199999999999999">
      <c r="A48" s="4">
        <f t="shared" si="22"/>
        <v>32</v>
      </c>
      <c r="B48" s="9">
        <f t="shared" si="25"/>
        <v>57968</v>
      </c>
      <c r="C48" s="4">
        <f t="shared" si="30"/>
        <v>90</v>
      </c>
      <c r="D48" s="4">
        <f t="shared" ca="1" si="31"/>
        <v>0.23416230186574624</v>
      </c>
      <c r="E48" s="4">
        <f t="shared" ca="1" si="23"/>
        <v>0.76583769813425373</v>
      </c>
      <c r="F48" s="4">
        <f t="shared" ca="1" si="26"/>
        <v>2.5166099062157905E-2</v>
      </c>
      <c r="G48" s="4">
        <f t="shared" ref="G48:G79" ca="1" si="32">IF(A48&lt;g_period,1,F48)*(B48&gt;0)</f>
        <v>2.5166099062157905E-2</v>
      </c>
      <c r="H48" s="4">
        <f t="shared" ref="H48:H76" si="33">(1+i)^(-A48)*(B48&gt;0)</f>
        <v>6.3438377348744343E-2</v>
      </c>
      <c r="I48" s="4">
        <f t="shared" ref="I48:I76" si="34">IF(A48=0,1,IF(YEAR(B48)=YEAR($B$15),1,1+index)*I47*(B48&gt;0))</f>
        <v>11.737082995415276</v>
      </c>
      <c r="J48" s="4">
        <f t="shared" ref="J48:J79" si="35">IF(AND(B49=0,end=1),YEARFRAC(d_last,d_end,4),1)*(B48&gt;0)</f>
        <v>1</v>
      </c>
      <c r="K48" s="4">
        <f t="shared" ca="1" si="24"/>
        <v>1.8738211789773342E-2</v>
      </c>
      <c r="M48" s="6">
        <f t="shared" ca="1" si="15"/>
        <v>26520046.100233886</v>
      </c>
      <c r="N48" s="6">
        <f t="shared" ref="N48:N79" ca="1" si="36">ROUND($E$6*I48*J48,2)</f>
        <v>7844613.96</v>
      </c>
      <c r="O48" s="4">
        <f t="shared" ca="1" si="16"/>
        <v>0.77698773180145853</v>
      </c>
      <c r="P48" s="6">
        <f t="shared" ref="P48:P79" ca="1" si="37">(M48-N48)*($E$11-i)</f>
        <v>-560262.96420701651</v>
      </c>
      <c r="Q48" s="4">
        <f t="shared" ref="Q48:Q79" si="38">(1+$E$11)^(-A48)*(B48&gt;0)</f>
        <v>0.15495739668087777</v>
      </c>
      <c r="R48" s="7">
        <f t="shared" ref="R48:R79" ca="1" si="39">Q48*G48*P48</f>
        <v>-2184.8424638290599</v>
      </c>
      <c r="S48" s="7">
        <f ca="1">SUM($R$16:R48)</f>
        <v>-3567591.8350619315</v>
      </c>
      <c r="T48" s="7">
        <f t="shared" ca="1" si="17"/>
        <v>-3567591.8350619315</v>
      </c>
      <c r="U48" s="7"/>
      <c r="V48" s="7">
        <f t="shared" ref="V48:V79" si="40">C50</f>
        <v>92</v>
      </c>
      <c r="W48" s="159">
        <f t="shared" ref="W48:W79" ca="1" si="41">D50</f>
        <v>0.2846262706516629</v>
      </c>
      <c r="X48" s="160">
        <f t="shared" ca="1" si="18"/>
        <v>0.7153737293483371</v>
      </c>
      <c r="Y48" s="4">
        <f t="shared" ca="1" si="19"/>
        <v>1.5595986703380329E-2</v>
      </c>
      <c r="Z48" s="4">
        <f t="shared" ref="Z48:Z79" si="42">H48</f>
        <v>6.3438377348744343E-2</v>
      </c>
      <c r="AA48" s="4">
        <f t="shared" ref="AA48:AA79" si="43">I48</f>
        <v>11.737082995415276</v>
      </c>
      <c r="AB48" s="160">
        <f t="shared" ca="1" si="20"/>
        <v>1.1612483174155119E-2</v>
      </c>
      <c r="AC48" s="8">
        <f t="shared" si="29"/>
        <v>0</v>
      </c>
      <c r="AD48" s="8">
        <f t="shared" si="21"/>
        <v>0</v>
      </c>
      <c r="AE48" s="8">
        <f t="shared" ref="AE48:AE76" ca="1" si="44">(AF48-AD48)*$D$9</f>
        <v>0</v>
      </c>
      <c r="AF48" s="8">
        <f t="shared" ca="1" si="27"/>
        <v>-157.78632825519043</v>
      </c>
      <c r="AG48" s="8">
        <f t="shared" ca="1" si="28"/>
        <v>-157.78632825519043</v>
      </c>
    </row>
    <row r="49" spans="1:33" s="4" customFormat="1" ht="10.199999999999999">
      <c r="A49" s="4">
        <f t="shared" si="22"/>
        <v>33</v>
      </c>
      <c r="B49" s="9">
        <f t="shared" ref="B49:B80" si="45">IF(d_last&lt;EDATE(d_begin,12*A49),0,IF(AND(DAY(d_begin)=29,MONTH(d_begin)=2),EOMONTH($B$16,12*A49),EDATE($B$16,12*A49)))</f>
        <v>58333</v>
      </c>
      <c r="C49" s="4">
        <f t="shared" si="30"/>
        <v>91</v>
      </c>
      <c r="D49" s="4">
        <f t="shared" ca="1" si="31"/>
        <v>0.25816470464849522</v>
      </c>
      <c r="E49" s="4">
        <f t="shared" ca="1" si="23"/>
        <v>0.74183529535150483</v>
      </c>
      <c r="F49" s="4">
        <f t="shared" ca="1" si="26"/>
        <v>1.927314737678161E-2</v>
      </c>
      <c r="G49" s="4">
        <f t="shared" ca="1" si="32"/>
        <v>1.927314737678161E-2</v>
      </c>
      <c r="H49" s="4">
        <f t="shared" si="33"/>
        <v>5.8200346191508566E-2</v>
      </c>
      <c r="I49" s="4">
        <f t="shared" si="34"/>
        <v>12.6760496350485</v>
      </c>
      <c r="J49" s="4">
        <f t="shared" si="35"/>
        <v>1</v>
      </c>
      <c r="K49" s="4">
        <f t="shared" ca="1" si="24"/>
        <v>1.4218773672450204E-2</v>
      </c>
      <c r="M49" s="6">
        <f t="shared" ref="M49:M80" ca="1" si="46">IF(J49=0,0,(M48-N48)*(1+i)/O49)</f>
        <v>26580332.990197655</v>
      </c>
      <c r="N49" s="6">
        <f t="shared" ca="1" si="36"/>
        <v>8472183.0700000003</v>
      </c>
      <c r="O49" s="4">
        <f t="shared" ref="O49:O80" ca="1" si="47">IF(G48=1,G49,IF(G49=1,1,E48))</f>
        <v>0.76583769813425373</v>
      </c>
      <c r="P49" s="6">
        <f t="shared" ca="1" si="37"/>
        <v>-543244.49760592962</v>
      </c>
      <c r="Q49" s="4">
        <f t="shared" si="38"/>
        <v>0.14618622328384695</v>
      </c>
      <c r="R49" s="7">
        <f t="shared" ca="1" si="39"/>
        <v>-1530.5743281457353</v>
      </c>
      <c r="S49" s="7">
        <f ca="1">SUM($R$16:R49)</f>
        <v>-3569122.4093900775</v>
      </c>
      <c r="T49" s="7">
        <f t="shared" ca="1" si="17"/>
        <v>-3569122.4093900775</v>
      </c>
      <c r="U49" s="7"/>
      <c r="V49" s="7">
        <f t="shared" si="40"/>
        <v>93</v>
      </c>
      <c r="W49" s="159">
        <f t="shared" ca="1" si="41"/>
        <v>0.31380103259540393</v>
      </c>
      <c r="X49" s="160">
        <f t="shared" ca="1" si="18"/>
        <v>0.68619896740459607</v>
      </c>
      <c r="Y49" s="4">
        <f t="shared" ca="1" si="19"/>
        <v>1.1156959170864263E-2</v>
      </c>
      <c r="Z49" s="4">
        <f t="shared" si="42"/>
        <v>5.8200346191508566E-2</v>
      </c>
      <c r="AA49" s="4">
        <f t="shared" si="43"/>
        <v>12.6760496350485</v>
      </c>
      <c r="AB49" s="160">
        <f t="shared" ca="1" si="20"/>
        <v>8.231051951296673E-3</v>
      </c>
      <c r="AC49" s="8">
        <f t="shared" si="29"/>
        <v>0</v>
      </c>
      <c r="AD49" s="8">
        <f t="shared" si="21"/>
        <v>0</v>
      </c>
      <c r="AE49" s="8">
        <f t="shared" ca="1" si="44"/>
        <v>0</v>
      </c>
      <c r="AF49" s="8">
        <f t="shared" ca="1" si="27"/>
        <v>-170.47060894219024</v>
      </c>
      <c r="AG49" s="8">
        <f t="shared" ca="1" si="28"/>
        <v>-170.47060894219024</v>
      </c>
    </row>
    <row r="50" spans="1:33" s="4" customFormat="1" ht="10.199999999999999">
      <c r="A50" s="4">
        <f t="shared" si="22"/>
        <v>34</v>
      </c>
      <c r="B50" s="9">
        <f t="shared" si="45"/>
        <v>58699</v>
      </c>
      <c r="C50" s="4">
        <f t="shared" si="30"/>
        <v>92</v>
      </c>
      <c r="D50" s="4">
        <f t="shared" ca="1" si="31"/>
        <v>0.2846262706516629</v>
      </c>
      <c r="E50" s="4">
        <f t="shared" ca="1" si="23"/>
        <v>0.7153737293483371</v>
      </c>
      <c r="F50" s="4">
        <f t="shared" ca="1" si="26"/>
        <v>1.4297500976607867E-2</v>
      </c>
      <c r="G50" s="4">
        <f t="shared" ca="1" si="32"/>
        <v>1.4297500976607867E-2</v>
      </c>
      <c r="H50" s="4">
        <f t="shared" si="33"/>
        <v>5.3394813019732625E-2</v>
      </c>
      <c r="I50" s="4">
        <f t="shared" si="34"/>
        <v>13.690133605852381</v>
      </c>
      <c r="J50" s="4">
        <f t="shared" si="35"/>
        <v>1</v>
      </c>
      <c r="K50" s="4">
        <f t="shared" ca="1" si="24"/>
        <v>1.0451217633197578E-2</v>
      </c>
      <c r="M50" s="6">
        <f t="shared" ca="1" si="46"/>
        <v>26606827.063496642</v>
      </c>
      <c r="N50" s="6">
        <f t="shared" ca="1" si="36"/>
        <v>9149957.7200000007</v>
      </c>
      <c r="O50" s="4">
        <f t="shared" ca="1" si="47"/>
        <v>0.74183529535150483</v>
      </c>
      <c r="P50" s="6">
        <f t="shared" ca="1" si="37"/>
        <v>-523706.08030489925</v>
      </c>
      <c r="Q50" s="4">
        <f t="shared" si="38"/>
        <v>0.1379115313998556</v>
      </c>
      <c r="R50" s="7">
        <f t="shared" ca="1" si="39"/>
        <v>-1032.6385455639436</v>
      </c>
      <c r="S50" s="7">
        <f ca="1">SUM($R$16:R50)</f>
        <v>-3570155.0479356414</v>
      </c>
      <c r="T50" s="7">
        <f t="shared" ca="1" si="17"/>
        <v>-3570155.0479356414</v>
      </c>
      <c r="U50" s="7"/>
      <c r="V50" s="7">
        <f t="shared" si="40"/>
        <v>94</v>
      </c>
      <c r="W50" s="159">
        <f t="shared" ca="1" si="41"/>
        <v>0.34596515883108975</v>
      </c>
      <c r="X50" s="160">
        <f t="shared" ca="1" si="18"/>
        <v>0.65403484116891031</v>
      </c>
      <c r="Y50" s="4">
        <f t="shared" ca="1" si="19"/>
        <v>7.6558938624222955E-3</v>
      </c>
      <c r="Z50" s="4">
        <f t="shared" si="42"/>
        <v>5.3394813019732625E-2</v>
      </c>
      <c r="AA50" s="4">
        <f t="shared" si="43"/>
        <v>13.690133605852381</v>
      </c>
      <c r="AB50" s="160">
        <f t="shared" ca="1" si="20"/>
        <v>5.5963215574348912E-3</v>
      </c>
      <c r="AC50" s="8">
        <f t="shared" si="29"/>
        <v>0</v>
      </c>
      <c r="AD50" s="8">
        <f t="shared" si="21"/>
        <v>0</v>
      </c>
      <c r="AE50" s="8">
        <f t="shared" ca="1" si="44"/>
        <v>0</v>
      </c>
      <c r="AF50" s="8">
        <f t="shared" ca="1" si="27"/>
        <v>-184.16633886960005</v>
      </c>
      <c r="AG50" s="8">
        <f t="shared" ca="1" si="28"/>
        <v>-184.16633886960005</v>
      </c>
    </row>
    <row r="51" spans="1:33" s="4" customFormat="1" ht="10.199999999999999">
      <c r="A51" s="4">
        <f t="shared" si="22"/>
        <v>35</v>
      </c>
      <c r="B51" s="9">
        <f t="shared" si="45"/>
        <v>59064</v>
      </c>
      <c r="C51" s="4">
        <f t="shared" si="30"/>
        <v>93</v>
      </c>
      <c r="D51" s="4">
        <f t="shared" ca="1" si="31"/>
        <v>0.31380103259540393</v>
      </c>
      <c r="E51" s="4">
        <f t="shared" ca="1" si="23"/>
        <v>0.68619896740459607</v>
      </c>
      <c r="F51" s="4">
        <f t="shared" ca="1" si="26"/>
        <v>1.0228056593997462E-2</v>
      </c>
      <c r="G51" s="4">
        <f t="shared" ca="1" si="32"/>
        <v>1.0228056593997462E-2</v>
      </c>
      <c r="H51" s="4">
        <f t="shared" si="33"/>
        <v>4.8986066990580383E-2</v>
      </c>
      <c r="I51" s="4">
        <f t="shared" si="34"/>
        <v>14.785344294320572</v>
      </c>
      <c r="J51" s="4">
        <f t="shared" si="35"/>
        <v>1</v>
      </c>
      <c r="K51" s="4">
        <f t="shared" ca="1" si="24"/>
        <v>7.4079345479366836E-3</v>
      </c>
      <c r="M51" s="6">
        <f t="shared" ca="1" si="46"/>
        <v>26598666.967746645</v>
      </c>
      <c r="N51" s="6">
        <f t="shared" ca="1" si="36"/>
        <v>9881954.3399999999</v>
      </c>
      <c r="O51" s="4">
        <f t="shared" ca="1" si="47"/>
        <v>0.7153737293483371</v>
      </c>
      <c r="P51" s="6">
        <f t="shared" ca="1" si="37"/>
        <v>-501501.37883239932</v>
      </c>
      <c r="Q51" s="4">
        <f t="shared" si="38"/>
        <v>0.13010521830175056</v>
      </c>
      <c r="R51" s="7">
        <f t="shared" ca="1" si="39"/>
        <v>-667.35968813102249</v>
      </c>
      <c r="S51" s="7">
        <f ca="1">SUM($R$16:R51)</f>
        <v>-3570822.4076237725</v>
      </c>
      <c r="T51" s="7">
        <f t="shared" ca="1" si="17"/>
        <v>-3570822.4076237725</v>
      </c>
      <c r="U51" s="7"/>
      <c r="V51" s="7">
        <f t="shared" si="40"/>
        <v>95</v>
      </c>
      <c r="W51" s="159">
        <f t="shared" ca="1" si="41"/>
        <v>0.38142644004040172</v>
      </c>
      <c r="X51" s="160">
        <f t="shared" ca="1" si="18"/>
        <v>0.61857355995959828</v>
      </c>
      <c r="Y51" s="4">
        <f t="shared" ca="1" si="19"/>
        <v>5.007221326315401E-3</v>
      </c>
      <c r="Z51" s="4">
        <f t="shared" si="42"/>
        <v>4.8986066990580383E-2</v>
      </c>
      <c r="AA51" s="4">
        <f t="shared" si="43"/>
        <v>14.785344294320572</v>
      </c>
      <c r="AB51" s="160">
        <f t="shared" ca="1" si="20"/>
        <v>3.626609562773251E-3</v>
      </c>
      <c r="AC51" s="8">
        <f t="shared" si="29"/>
        <v>0</v>
      </c>
      <c r="AD51" s="8">
        <f t="shared" si="21"/>
        <v>0</v>
      </c>
      <c r="AE51" s="8">
        <f t="shared" ca="1" si="44"/>
        <v>0</v>
      </c>
      <c r="AF51" s="8">
        <f t="shared" ca="1" si="27"/>
        <v>-198.95530977348341</v>
      </c>
      <c r="AG51" s="8">
        <f t="shared" ca="1" si="28"/>
        <v>-198.95530977348341</v>
      </c>
    </row>
    <row r="52" spans="1:33" s="4" customFormat="1" ht="10.199999999999999">
      <c r="A52" s="4">
        <f t="shared" si="22"/>
        <v>36</v>
      </c>
      <c r="B52" s="9">
        <f t="shared" si="45"/>
        <v>59429</v>
      </c>
      <c r="C52" s="4">
        <f t="shared" si="30"/>
        <v>94</v>
      </c>
      <c r="D52" s="4">
        <f t="shared" ca="1" si="31"/>
        <v>0.34596515883108975</v>
      </c>
      <c r="E52" s="4">
        <f t="shared" ca="1" si="23"/>
        <v>0.65403484116891031</v>
      </c>
      <c r="F52" s="4">
        <f t="shared" ca="1" si="26"/>
        <v>7.0184818733568279E-3</v>
      </c>
      <c r="G52" s="4">
        <f t="shared" ca="1" si="32"/>
        <v>7.0184818733568279E-3</v>
      </c>
      <c r="H52" s="4">
        <f t="shared" si="33"/>
        <v>4.4941345862917786E-2</v>
      </c>
      <c r="I52" s="4">
        <f t="shared" si="34"/>
        <v>15.968171837866219</v>
      </c>
      <c r="J52" s="4">
        <f t="shared" si="35"/>
        <v>1</v>
      </c>
      <c r="K52" s="4">
        <f t="shared" ca="1" si="24"/>
        <v>5.0366811012720961E-3</v>
      </c>
      <c r="M52" s="6">
        <f t="shared" ca="1" si="46"/>
        <v>26553838.798623934</v>
      </c>
      <c r="N52" s="6">
        <f t="shared" ca="1" si="36"/>
        <v>10672510.68</v>
      </c>
      <c r="O52" s="4">
        <f t="shared" ca="1" si="47"/>
        <v>0.68619896740459607</v>
      </c>
      <c r="P52" s="6">
        <f t="shared" ca="1" si="37"/>
        <v>-476439.84355871804</v>
      </c>
      <c r="Q52" s="4">
        <f t="shared" si="38"/>
        <v>0.12274077198278353</v>
      </c>
      <c r="R52" s="7">
        <f t="shared" ca="1" si="39"/>
        <v>-410.43095338439781</v>
      </c>
      <c r="S52" s="7">
        <f ca="1">SUM($R$16:R52)</f>
        <v>-3571232.8385771569</v>
      </c>
      <c r="T52" s="7">
        <f t="shared" ca="1" si="17"/>
        <v>-3571232.8385771569</v>
      </c>
      <c r="U52" s="7"/>
      <c r="V52" s="7">
        <f t="shared" si="40"/>
        <v>96</v>
      </c>
      <c r="W52" s="159">
        <f t="shared" ca="1" si="41"/>
        <v>0.42052323515765355</v>
      </c>
      <c r="X52" s="160">
        <f t="shared" ca="1" si="18"/>
        <v>0.57947676484234645</v>
      </c>
      <c r="Y52" s="4">
        <f t="shared" ca="1" si="19"/>
        <v>3.0973347213245389E-3</v>
      </c>
      <c r="Z52" s="4">
        <f t="shared" si="42"/>
        <v>4.4941345862917786E-2</v>
      </c>
      <c r="AA52" s="4">
        <f t="shared" si="43"/>
        <v>15.968171837866219</v>
      </c>
      <c r="AB52" s="160">
        <f t="shared" ca="1" si="20"/>
        <v>2.2227438264719505E-3</v>
      </c>
      <c r="AC52" s="8">
        <f t="shared" si="29"/>
        <v>0</v>
      </c>
      <c r="AD52" s="8">
        <f t="shared" si="21"/>
        <v>0</v>
      </c>
      <c r="AE52" s="8">
        <f t="shared" ca="1" si="44"/>
        <v>0</v>
      </c>
      <c r="AF52" s="8">
        <f t="shared" ca="1" si="27"/>
        <v>-214.92570435517609</v>
      </c>
      <c r="AG52" s="8">
        <f t="shared" ca="1" si="28"/>
        <v>-214.92570435517609</v>
      </c>
    </row>
    <row r="53" spans="1:33" s="4" customFormat="1" ht="10.199999999999999">
      <c r="A53" s="4">
        <f t="shared" si="22"/>
        <v>37</v>
      </c>
      <c r="B53" s="9">
        <f t="shared" si="45"/>
        <v>59794</v>
      </c>
      <c r="C53" s="4">
        <f t="shared" si="30"/>
        <v>95</v>
      </c>
      <c r="D53" s="4">
        <f t="shared" ca="1" si="31"/>
        <v>0.38142644004040172</v>
      </c>
      <c r="E53" s="4">
        <f t="shared" ca="1" si="23"/>
        <v>0.61857355995959828</v>
      </c>
      <c r="F53" s="4">
        <f t="shared" ca="1" si="26"/>
        <v>4.5903316772878087E-3</v>
      </c>
      <c r="G53" s="4">
        <f t="shared" ca="1" si="32"/>
        <v>4.5903316772878087E-3</v>
      </c>
      <c r="H53" s="4">
        <f t="shared" si="33"/>
        <v>4.1230592534786961E-2</v>
      </c>
      <c r="I53" s="4">
        <f t="shared" si="34"/>
        <v>17.245625584895517</v>
      </c>
      <c r="J53" s="4">
        <f t="shared" si="35"/>
        <v>1</v>
      </c>
      <c r="K53" s="4">
        <f t="shared" ca="1" si="24"/>
        <v>3.2639432275376732E-3</v>
      </c>
      <c r="M53" s="6">
        <f t="shared" ca="1" si="46"/>
        <v>26467470.170797005</v>
      </c>
      <c r="N53" s="6">
        <f t="shared" ca="1" si="36"/>
        <v>11526311.539999999</v>
      </c>
      <c r="O53" s="4">
        <f t="shared" ca="1" si="47"/>
        <v>0.65403484116891031</v>
      </c>
      <c r="P53" s="6">
        <f t="shared" ca="1" si="37"/>
        <v>-448234.75892391015</v>
      </c>
      <c r="Q53" s="4">
        <f t="shared" si="38"/>
        <v>0.11579318111583352</v>
      </c>
      <c r="R53" s="7">
        <f t="shared" ca="1" si="39"/>
        <v>-238.24982126714522</v>
      </c>
      <c r="S53" s="7">
        <f ca="1">SUM($R$16:R53)</f>
        <v>-3571471.088398424</v>
      </c>
      <c r="T53" s="7">
        <f t="shared" ca="1" si="17"/>
        <v>-3571471.088398424</v>
      </c>
      <c r="U53" s="7"/>
      <c r="V53" s="7">
        <f t="shared" si="40"/>
        <v>97</v>
      </c>
      <c r="W53" s="159">
        <f t="shared" ca="1" si="41"/>
        <v>0.46362657952514608</v>
      </c>
      <c r="X53" s="160">
        <f t="shared" ca="1" si="18"/>
        <v>0.53637342047485392</v>
      </c>
      <c r="Y53" s="4">
        <f t="shared" ca="1" si="19"/>
        <v>1.7948335039470146E-3</v>
      </c>
      <c r="Z53" s="4">
        <f t="shared" si="42"/>
        <v>4.1230592534786961E-2</v>
      </c>
      <c r="AA53" s="4">
        <f t="shared" si="43"/>
        <v>17.245625584895517</v>
      </c>
      <c r="AB53" s="160">
        <f t="shared" ca="1" si="20"/>
        <v>1.2762116273103167E-3</v>
      </c>
      <c r="AC53" s="8">
        <f t="shared" si="29"/>
        <v>0</v>
      </c>
      <c r="AD53" s="8">
        <f t="shared" si="21"/>
        <v>0</v>
      </c>
      <c r="AE53" s="8">
        <f t="shared" ca="1" si="44"/>
        <v>0</v>
      </c>
      <c r="AF53" s="8">
        <f t="shared" ca="1" si="27"/>
        <v>-232.17260615169891</v>
      </c>
      <c r="AG53" s="8">
        <f t="shared" ca="1" si="28"/>
        <v>-232.17260615169891</v>
      </c>
    </row>
    <row r="54" spans="1:33" s="4" customFormat="1" ht="10.199999999999999">
      <c r="A54" s="4">
        <f t="shared" si="22"/>
        <v>38</v>
      </c>
      <c r="B54" s="9">
        <f t="shared" si="45"/>
        <v>60160</v>
      </c>
      <c r="C54" s="4">
        <f t="shared" si="30"/>
        <v>96</v>
      </c>
      <c r="D54" s="4">
        <f t="shared" ca="1" si="31"/>
        <v>0.42052323515765355</v>
      </c>
      <c r="E54" s="4">
        <f t="shared" ca="1" si="23"/>
        <v>0.57947676484234645</v>
      </c>
      <c r="F54" s="4">
        <f t="shared" ca="1" si="26"/>
        <v>2.8394578070152338E-3</v>
      </c>
      <c r="G54" s="4">
        <f t="shared" ca="1" si="32"/>
        <v>2.8394578070152338E-3</v>
      </c>
      <c r="H54" s="4">
        <f t="shared" si="33"/>
        <v>3.782623168329078E-2</v>
      </c>
      <c r="I54" s="4">
        <f t="shared" si="34"/>
        <v>18.62527563168716</v>
      </c>
      <c r="J54" s="4">
        <f t="shared" si="35"/>
        <v>1</v>
      </c>
      <c r="K54" s="4">
        <f t="shared" ca="1" si="24"/>
        <v>2.0004661470689167E-3</v>
      </c>
      <c r="M54" s="6">
        <f t="shared" ca="1" si="46"/>
        <v>26328094.121307801</v>
      </c>
      <c r="N54" s="6">
        <f t="shared" ca="1" si="36"/>
        <v>12448416.460000001</v>
      </c>
      <c r="O54" s="4">
        <f t="shared" ca="1" si="47"/>
        <v>0.61857355995959828</v>
      </c>
      <c r="P54" s="6">
        <f t="shared" ca="1" si="37"/>
        <v>-416390.32983923401</v>
      </c>
      <c r="Q54" s="4">
        <f t="shared" si="38"/>
        <v>0.10923885010927689</v>
      </c>
      <c r="R54" s="7">
        <f t="shared" ca="1" si="39"/>
        <v>-129.15558016170553</v>
      </c>
      <c r="S54" s="7">
        <f ca="1">SUM($R$16:R54)</f>
        <v>-3571600.2439785856</v>
      </c>
      <c r="T54" s="7">
        <f t="shared" ca="1" si="17"/>
        <v>-3571600.2439785856</v>
      </c>
      <c r="U54" s="7"/>
      <c r="V54" s="7">
        <f t="shared" si="40"/>
        <v>98</v>
      </c>
      <c r="W54" s="159">
        <f t="shared" ca="1" si="41"/>
        <v>0.51114756343690548</v>
      </c>
      <c r="X54" s="160">
        <f t="shared" ca="1" si="18"/>
        <v>0.48885243656309452</v>
      </c>
      <c r="Y54" s="4">
        <f t="shared" ca="1" si="19"/>
        <v>9.6270098569492741E-4</v>
      </c>
      <c r="Z54" s="4">
        <f t="shared" si="42"/>
        <v>3.782623168329078E-2</v>
      </c>
      <c r="AA54" s="4">
        <f t="shared" si="43"/>
        <v>18.62527563168716</v>
      </c>
      <c r="AB54" s="160">
        <f t="shared" ca="1" si="20"/>
        <v>6.7824594078296429E-4</v>
      </c>
      <c r="AC54" s="8">
        <f t="shared" ref="AC54:AC76" si="48">IF(A54=0,$H$2*(1-H48)*D50,0)</f>
        <v>0</v>
      </c>
      <c r="AD54" s="8">
        <f t="shared" si="21"/>
        <v>0</v>
      </c>
      <c r="AE54" s="8">
        <f t="shared" ca="1" si="44"/>
        <v>0</v>
      </c>
      <c r="AF54" s="8">
        <f t="shared" ca="1" si="27"/>
        <v>-250.79856002932684</v>
      </c>
      <c r="AG54" s="8">
        <f t="shared" ca="1" si="28"/>
        <v>-250.79856002932684</v>
      </c>
    </row>
    <row r="55" spans="1:33" s="4" customFormat="1" ht="10.199999999999999">
      <c r="A55" s="4">
        <f t="shared" si="22"/>
        <v>39</v>
      </c>
      <c r="B55" s="9">
        <f t="shared" si="45"/>
        <v>60525</v>
      </c>
      <c r="C55" s="4">
        <f t="shared" si="30"/>
        <v>97</v>
      </c>
      <c r="D55" s="4">
        <f t="shared" ca="1" si="31"/>
        <v>0.46362657952514608</v>
      </c>
      <c r="E55" s="4">
        <f t="shared" ca="1" si="23"/>
        <v>0.53637342047485392</v>
      </c>
      <c r="F55" s="4">
        <f t="shared" ca="1" si="26"/>
        <v>1.6453998239155314E-3</v>
      </c>
      <c r="G55" s="4">
        <f t="shared" ca="1" si="32"/>
        <v>1.6453998239155314E-3</v>
      </c>
      <c r="H55" s="4">
        <f t="shared" si="33"/>
        <v>3.4702964847055769E-2</v>
      </c>
      <c r="I55" s="4">
        <f t="shared" si="34"/>
        <v>20.115297682222135</v>
      </c>
      <c r="J55" s="4">
        <f t="shared" si="35"/>
        <v>1</v>
      </c>
      <c r="K55" s="4">
        <f t="shared" ca="1" si="24"/>
        <v>1.1485885717124221E-3</v>
      </c>
      <c r="M55" s="6">
        <f t="shared" ca="1" si="46"/>
        <v>26107774.407385405</v>
      </c>
      <c r="N55" s="6">
        <f t="shared" ca="1" si="36"/>
        <v>13444289.779999999</v>
      </c>
      <c r="O55" s="4">
        <f t="shared" ca="1" si="47"/>
        <v>0.57947676484234645</v>
      </c>
      <c r="P55" s="6">
        <f t="shared" ca="1" si="37"/>
        <v>-379904.53882156214</v>
      </c>
      <c r="Q55" s="4">
        <f t="shared" si="38"/>
        <v>0.10305551897101592</v>
      </c>
      <c r="R55" s="7">
        <f t="shared" ca="1" si="39"/>
        <v>-64.419475335501772</v>
      </c>
      <c r="S55" s="7">
        <f ca="1">SUM($R$16:R55)</f>
        <v>-3571664.6634539212</v>
      </c>
      <c r="T55" s="7">
        <f t="shared" ca="1" si="17"/>
        <v>-3571664.6634539212</v>
      </c>
      <c r="U55" s="7"/>
      <c r="V55" s="7">
        <f t="shared" si="40"/>
        <v>99</v>
      </c>
      <c r="W55" s="159">
        <f t="shared" ca="1" si="41"/>
        <v>0.56354049437171461</v>
      </c>
      <c r="X55" s="160">
        <f t="shared" ca="1" si="18"/>
        <v>0.43645950562828539</v>
      </c>
      <c r="Y55" s="4">
        <f t="shared" ca="1" si="19"/>
        <v>4.7061872253865804E-4</v>
      </c>
      <c r="Z55" s="4">
        <f t="shared" si="42"/>
        <v>3.4702964847055769E-2</v>
      </c>
      <c r="AA55" s="4">
        <f t="shared" si="43"/>
        <v>20.115297682222135</v>
      </c>
      <c r="AB55" s="160">
        <f t="shared" ca="1" si="20"/>
        <v>3.2852032587159897E-4</v>
      </c>
      <c r="AC55" s="8">
        <f t="shared" si="48"/>
        <v>0</v>
      </c>
      <c r="AD55" s="8">
        <f t="shared" si="21"/>
        <v>0</v>
      </c>
      <c r="AE55" s="8">
        <f t="shared" ca="1" si="44"/>
        <v>0</v>
      </c>
      <c r="AF55" s="8">
        <f t="shared" ca="1" si="27"/>
        <v>-270.91418623187485</v>
      </c>
      <c r="AG55" s="8">
        <f t="shared" ca="1" si="28"/>
        <v>-270.91418623187485</v>
      </c>
    </row>
    <row r="56" spans="1:33" s="4" customFormat="1" ht="10.199999999999999">
      <c r="A56" s="4">
        <f t="shared" si="22"/>
        <v>40</v>
      </c>
      <c r="B56" s="9">
        <f t="shared" si="45"/>
        <v>60890</v>
      </c>
      <c r="C56" s="4">
        <f t="shared" si="30"/>
        <v>98</v>
      </c>
      <c r="D56" s="4">
        <f t="shared" ca="1" si="31"/>
        <v>0.51114756343690548</v>
      </c>
      <c r="E56" s="4">
        <f t="shared" ca="1" si="23"/>
        <v>0.48885243656309452</v>
      </c>
      <c r="F56" s="4">
        <f t="shared" ca="1" si="26"/>
        <v>8.8254873160229592E-4</v>
      </c>
      <c r="G56" s="4">
        <f t="shared" ca="1" si="32"/>
        <v>8.8254873160229592E-4</v>
      </c>
      <c r="H56" s="4">
        <f t="shared" si="33"/>
        <v>3.1837582428491523E-2</v>
      </c>
      <c r="I56" s="4">
        <f t="shared" si="34"/>
        <v>21.724521496799905</v>
      </c>
      <c r="J56" s="4">
        <f t="shared" si="35"/>
        <v>1</v>
      </c>
      <c r="K56" s="4">
        <f t="shared" ca="1" si="24"/>
        <v>6.104203407357214E-4</v>
      </c>
      <c r="M56" s="6">
        <f t="shared" ca="1" si="46"/>
        <v>25734306.95285023</v>
      </c>
      <c r="N56" s="6">
        <f t="shared" ca="1" si="36"/>
        <v>14519832.960000001</v>
      </c>
      <c r="O56" s="4">
        <f t="shared" ca="1" si="47"/>
        <v>0.53637342047485392</v>
      </c>
      <c r="P56" s="6">
        <f t="shared" ca="1" si="37"/>
        <v>-336434.21978550684</v>
      </c>
      <c r="Q56" s="4">
        <f t="shared" si="38"/>
        <v>9.7222187708505589E-2</v>
      </c>
      <c r="R56" s="7">
        <f t="shared" ca="1" si="39"/>
        <v>-28.867172496300576</v>
      </c>
      <c r="S56" s="7">
        <f ca="1">SUM($R$16:R56)</f>
        <v>-3571693.5306264176</v>
      </c>
      <c r="T56" s="7">
        <f t="shared" ca="1" si="17"/>
        <v>-3571693.5306264176</v>
      </c>
      <c r="U56" s="7"/>
      <c r="V56" s="7">
        <f t="shared" si="40"/>
        <v>100</v>
      </c>
      <c r="W56" s="159">
        <f t="shared" ca="1" si="41"/>
        <v>0.62130395107078995</v>
      </c>
      <c r="X56" s="160">
        <f t="shared" ca="1" si="18"/>
        <v>0.37869604892921005</v>
      </c>
      <c r="Y56" s="4">
        <f t="shared" ca="1" si="19"/>
        <v>2.054060149786379E-4</v>
      </c>
      <c r="Z56" s="4">
        <f t="shared" si="42"/>
        <v>3.1837582428491523E-2</v>
      </c>
      <c r="AA56" s="4">
        <f t="shared" si="43"/>
        <v>21.724521496799905</v>
      </c>
      <c r="AB56" s="160">
        <f t="shared" ca="1" si="20"/>
        <v>1.4207035278923134E-4</v>
      </c>
      <c r="AC56" s="8">
        <f t="shared" si="48"/>
        <v>0</v>
      </c>
      <c r="AD56" s="8">
        <f t="shared" si="21"/>
        <v>0</v>
      </c>
      <c r="AE56" s="8">
        <f t="shared" ca="1" si="44"/>
        <v>0</v>
      </c>
      <c r="AF56" s="8">
        <f t="shared" ca="1" si="27"/>
        <v>-292.63884979902758</v>
      </c>
      <c r="AG56" s="8">
        <f t="shared" ca="1" si="28"/>
        <v>-292.63884979902758</v>
      </c>
    </row>
    <row r="57" spans="1:33" s="4" customFormat="1" ht="10.199999999999999">
      <c r="A57" s="4">
        <f t="shared" si="22"/>
        <v>41</v>
      </c>
      <c r="B57" s="9">
        <f t="shared" si="45"/>
        <v>61255</v>
      </c>
      <c r="C57" s="4">
        <f t="shared" si="30"/>
        <v>99</v>
      </c>
      <c r="D57" s="4">
        <f t="shared" ca="1" si="31"/>
        <v>0.56354049437171461</v>
      </c>
      <c r="E57" s="4">
        <f t="shared" ca="1" si="23"/>
        <v>0.43645950562828539</v>
      </c>
      <c r="F57" s="4">
        <f t="shared" ca="1" si="26"/>
        <v>4.3143609782945091E-4</v>
      </c>
      <c r="G57" s="4">
        <f t="shared" ca="1" si="32"/>
        <v>4.3143609782945091E-4</v>
      </c>
      <c r="H57" s="4">
        <f t="shared" si="33"/>
        <v>2.9208791218799563E-2</v>
      </c>
      <c r="I57" s="4">
        <f t="shared" si="34"/>
        <v>23.462483216543898</v>
      </c>
      <c r="J57" s="4">
        <f t="shared" si="35"/>
        <v>1</v>
      </c>
      <c r="K57" s="4">
        <f t="shared" ca="1" si="24"/>
        <v>2.9566780602572327E-4</v>
      </c>
      <c r="M57" s="6">
        <f t="shared" ca="1" si="46"/>
        <v>25005043.931348126</v>
      </c>
      <c r="N57" s="6">
        <f t="shared" ca="1" si="36"/>
        <v>15681419.6</v>
      </c>
      <c r="O57" s="4">
        <f t="shared" ca="1" si="47"/>
        <v>0.48885243656309452</v>
      </c>
      <c r="P57" s="6">
        <f t="shared" ca="1" si="37"/>
        <v>-279708.72994044377</v>
      </c>
      <c r="Q57" s="4">
        <f t="shared" si="38"/>
        <v>9.171904500802415E-2</v>
      </c>
      <c r="R57" s="7">
        <f t="shared" ca="1" si="39"/>
        <v>-11.068328104571453</v>
      </c>
      <c r="S57" s="7">
        <f ca="1">SUM($R$16:R57)</f>
        <v>-3571704.5989545221</v>
      </c>
      <c r="T57" s="7">
        <f t="shared" ca="1" si="17"/>
        <v>-3571704.5989545221</v>
      </c>
      <c r="U57" s="7"/>
      <c r="V57" s="7">
        <f t="shared" si="40"/>
        <v>101</v>
      </c>
      <c r="W57" s="159">
        <f t="shared" ca="1" si="41"/>
        <v>1</v>
      </c>
      <c r="X57" s="160">
        <f t="shared" ca="1" si="18"/>
        <v>0</v>
      </c>
      <c r="Y57" s="4">
        <f t="shared" ca="1" si="19"/>
        <v>7.7786446298704309E-5</v>
      </c>
      <c r="Z57" s="4">
        <f t="shared" si="42"/>
        <v>2.9208791218799563E-2</v>
      </c>
      <c r="AA57" s="4">
        <f t="shared" si="43"/>
        <v>23.462483216543898</v>
      </c>
      <c r="AB57" s="160">
        <f t="shared" ca="1" si="20"/>
        <v>5.3307889699964922E-5</v>
      </c>
      <c r="AC57" s="8">
        <f t="shared" si="48"/>
        <v>0</v>
      </c>
      <c r="AD57" s="8">
        <f t="shared" si="21"/>
        <v>0</v>
      </c>
      <c r="AE57" s="8">
        <f t="shared" ca="1" si="44"/>
        <v>0</v>
      </c>
      <c r="AF57" s="8">
        <f t="shared" ca="1" si="27"/>
        <v>-316.10138632346116</v>
      </c>
      <c r="AG57" s="8">
        <f t="shared" ca="1" si="28"/>
        <v>-316.10138632346116</v>
      </c>
    </row>
    <row r="58" spans="1:33" s="4" customFormat="1" ht="10.199999999999999">
      <c r="A58" s="4">
        <f t="shared" si="22"/>
        <v>42</v>
      </c>
      <c r="B58" s="9">
        <f t="shared" si="45"/>
        <v>61621</v>
      </c>
      <c r="C58" s="4">
        <f t="shared" si="30"/>
        <v>100</v>
      </c>
      <c r="D58" s="4">
        <f t="shared" ca="1" si="31"/>
        <v>0.62130395107078995</v>
      </c>
      <c r="E58" s="4">
        <f t="shared" ca="1" si="23"/>
        <v>0.37869604892921005</v>
      </c>
      <c r="F58" s="4">
        <f t="shared" ca="1" si="26"/>
        <v>1.8830438596883871E-4</v>
      </c>
      <c r="G58" s="4">
        <f t="shared" ca="1" si="32"/>
        <v>1.8830438596883871E-4</v>
      </c>
      <c r="H58" s="4">
        <f t="shared" si="33"/>
        <v>2.6797056164036295E-2</v>
      </c>
      <c r="I58" s="4">
        <f t="shared" si="34"/>
        <v>25.339481873867413</v>
      </c>
      <c r="J58" s="4">
        <f t="shared" si="35"/>
        <v>1</v>
      </c>
      <c r="K58" s="4">
        <f t="shared" ca="1" si="24"/>
        <v>1.2786310679269901E-4</v>
      </c>
      <c r="M58" s="6">
        <f t="shared" ca="1" si="46"/>
        <v>23284520.992480472</v>
      </c>
      <c r="N58" s="6">
        <f t="shared" ca="1" si="36"/>
        <v>16935933.16</v>
      </c>
      <c r="O58" s="4">
        <f t="shared" ca="1" si="47"/>
        <v>0.43645950562828539</v>
      </c>
      <c r="P58" s="6">
        <f t="shared" ca="1" si="37"/>
        <v>-190457.63497441413</v>
      </c>
      <c r="Q58" s="4">
        <f t="shared" si="38"/>
        <v>8.6527400950966171E-2</v>
      </c>
      <c r="R58" s="7">
        <f t="shared" ca="1" si="39"/>
        <v>-3.1032194005246634</v>
      </c>
      <c r="S58" s="7">
        <f ca="1">SUM($R$16:R58)</f>
        <v>-3571707.7021739227</v>
      </c>
      <c r="T58" s="7">
        <f t="shared" ca="1" si="17"/>
        <v>-3571707.7021739227</v>
      </c>
      <c r="U58" s="7"/>
      <c r="V58" s="7">
        <f t="shared" si="40"/>
        <v>102</v>
      </c>
      <c r="W58" s="159">
        <f t="shared" ca="1" si="41"/>
        <v>1</v>
      </c>
      <c r="X58" s="160">
        <f t="shared" ca="1" si="18"/>
        <v>0</v>
      </c>
      <c r="Y58" s="4">
        <f t="shared" ca="1" si="19"/>
        <v>0</v>
      </c>
      <c r="Z58" s="4">
        <f t="shared" si="42"/>
        <v>2.6797056164036295E-2</v>
      </c>
      <c r="AA58" s="4">
        <f t="shared" si="43"/>
        <v>25.339481873867413</v>
      </c>
      <c r="AB58" s="160">
        <f t="shared" ca="1" si="20"/>
        <v>0</v>
      </c>
      <c r="AC58" s="8">
        <f t="shared" si="48"/>
        <v>0</v>
      </c>
      <c r="AD58" s="8">
        <f t="shared" si="21"/>
        <v>0</v>
      </c>
      <c r="AE58" s="8">
        <f t="shared" ca="1" si="44"/>
        <v>0</v>
      </c>
      <c r="AF58" s="8">
        <f t="shared" ca="1" si="27"/>
        <v>-341.44086819732854</v>
      </c>
      <c r="AG58" s="8">
        <f t="shared" ca="1" si="28"/>
        <v>-341.44086819732854</v>
      </c>
    </row>
    <row r="59" spans="1:33" s="4" customFormat="1" ht="10.199999999999999">
      <c r="A59" s="4">
        <f t="shared" si="22"/>
        <v>43</v>
      </c>
      <c r="B59" s="9">
        <f t="shared" si="45"/>
        <v>61986</v>
      </c>
      <c r="C59" s="4">
        <f t="shared" si="30"/>
        <v>101</v>
      </c>
      <c r="D59" s="4">
        <f t="shared" ca="1" si="31"/>
        <v>1</v>
      </c>
      <c r="E59" s="4">
        <f t="shared" ca="1" si="23"/>
        <v>0</v>
      </c>
      <c r="F59" s="4">
        <f t="shared" ca="1" si="26"/>
        <v>7.1310126962440202E-5</v>
      </c>
      <c r="G59" s="4">
        <f t="shared" ca="1" si="32"/>
        <v>7.1310126962440202E-5</v>
      </c>
      <c r="H59" s="4">
        <f t="shared" si="33"/>
        <v>2.4584455196363569E-2</v>
      </c>
      <c r="I59" s="4">
        <f t="shared" si="34"/>
        <v>27.366640423776808</v>
      </c>
      <c r="J59" s="4">
        <f t="shared" si="35"/>
        <v>1</v>
      </c>
      <c r="K59" s="4">
        <f t="shared" ca="1" si="24"/>
        <v>4.7977021664133437E-5</v>
      </c>
      <c r="M59" s="6">
        <f t="shared" ca="1" si="46"/>
        <v>18273126.315868344</v>
      </c>
      <c r="N59" s="6">
        <f t="shared" ca="1" si="36"/>
        <v>18290807.82</v>
      </c>
      <c r="O59" s="4">
        <f t="shared" ca="1" si="47"/>
        <v>0.37869604892921005</v>
      </c>
      <c r="P59" s="6">
        <f t="shared" ca="1" si="37"/>
        <v>530.44512394968422</v>
      </c>
      <c r="Q59" s="4">
        <f t="shared" si="38"/>
        <v>8.162962353864732E-2</v>
      </c>
      <c r="R59" s="7">
        <f t="shared" ca="1" si="39"/>
        <v>3.087731048659332E-3</v>
      </c>
      <c r="S59" s="7">
        <f ca="1">SUM($R$16:R59)</f>
        <v>-3571707.6990861916</v>
      </c>
      <c r="T59" s="7">
        <f t="shared" ca="1" si="17"/>
        <v>-3571707.6990861916</v>
      </c>
      <c r="U59" s="7"/>
      <c r="V59" s="7">
        <f t="shared" si="40"/>
        <v>103</v>
      </c>
      <c r="W59" s="159">
        <f t="shared" ca="1" si="41"/>
        <v>1</v>
      </c>
      <c r="X59" s="160">
        <f t="shared" ca="1" si="18"/>
        <v>0</v>
      </c>
      <c r="Y59" s="4">
        <f t="shared" ca="1" si="19"/>
        <v>0</v>
      </c>
      <c r="Z59" s="4">
        <f t="shared" si="42"/>
        <v>2.4584455196363569E-2</v>
      </c>
      <c r="AA59" s="4">
        <f t="shared" si="43"/>
        <v>27.366640423776808</v>
      </c>
      <c r="AB59" s="160">
        <f t="shared" ca="1" si="20"/>
        <v>0</v>
      </c>
      <c r="AC59" s="8">
        <f t="shared" si="48"/>
        <v>0</v>
      </c>
      <c r="AD59" s="8">
        <f t="shared" si="21"/>
        <v>0</v>
      </c>
      <c r="AE59" s="8">
        <f t="shared" ca="1" si="44"/>
        <v>0</v>
      </c>
      <c r="AF59" s="8">
        <f t="shared" ca="1" si="27"/>
        <v>-368.80750862110534</v>
      </c>
      <c r="AG59" s="8">
        <f t="shared" ca="1" si="28"/>
        <v>-368.80750862110534</v>
      </c>
    </row>
    <row r="60" spans="1:33" s="4" customFormat="1" ht="10.199999999999999">
      <c r="A60" s="4">
        <f t="shared" si="22"/>
        <v>44</v>
      </c>
      <c r="B60" s="9">
        <f t="shared" si="45"/>
        <v>62351</v>
      </c>
      <c r="C60" s="4">
        <f t="shared" si="30"/>
        <v>102</v>
      </c>
      <c r="D60" s="4">
        <f t="shared" ca="1" si="31"/>
        <v>1</v>
      </c>
      <c r="E60" s="4">
        <f t="shared" ca="1" si="23"/>
        <v>0</v>
      </c>
      <c r="F60" s="4">
        <f t="shared" ca="1" si="26"/>
        <v>0</v>
      </c>
      <c r="G60" s="4">
        <f t="shared" ca="1" si="32"/>
        <v>0</v>
      </c>
      <c r="H60" s="4">
        <f t="shared" si="33"/>
        <v>2.2554546051709697E-2</v>
      </c>
      <c r="I60" s="4">
        <f t="shared" si="34"/>
        <v>29.555971657678953</v>
      </c>
      <c r="J60" s="4">
        <f t="shared" si="35"/>
        <v>1</v>
      </c>
      <c r="K60" s="4">
        <f t="shared" ca="1" si="24"/>
        <v>0</v>
      </c>
      <c r="M60" s="6" t="e">
        <f t="shared" ca="1" si="46"/>
        <v>#DIV/0!</v>
      </c>
      <c r="N60" s="6">
        <f t="shared" ca="1" si="36"/>
        <v>19754072.440000001</v>
      </c>
      <c r="O60" s="4">
        <f t="shared" ca="1" si="47"/>
        <v>0</v>
      </c>
      <c r="P60" s="6" t="e">
        <f t="shared" ca="1" si="37"/>
        <v>#DIV/0!</v>
      </c>
      <c r="Q60" s="4">
        <f t="shared" si="38"/>
        <v>7.7009078810044637E-2</v>
      </c>
      <c r="R60" s="7" t="e">
        <f t="shared" ca="1" si="39"/>
        <v>#DIV/0!</v>
      </c>
      <c r="S60" s="7" t="e">
        <f ca="1">SUM($R$16:R60)</f>
        <v>#DIV/0!</v>
      </c>
      <c r="T60" s="7" t="e">
        <f t="shared" ca="1" si="17"/>
        <v>#DIV/0!</v>
      </c>
      <c r="U60" s="7"/>
      <c r="V60" s="7">
        <f t="shared" si="40"/>
        <v>104</v>
      </c>
      <c r="W60" s="159">
        <f t="shared" ca="1" si="41"/>
        <v>1</v>
      </c>
      <c r="X60" s="160">
        <f t="shared" ca="1" si="18"/>
        <v>0</v>
      </c>
      <c r="Y60" s="4">
        <f t="shared" ca="1" si="19"/>
        <v>0</v>
      </c>
      <c r="Z60" s="4">
        <f t="shared" si="42"/>
        <v>2.2554546051709697E-2</v>
      </c>
      <c r="AA60" s="4">
        <f t="shared" si="43"/>
        <v>29.555971657678953</v>
      </c>
      <c r="AB60" s="160">
        <f t="shared" ca="1" si="20"/>
        <v>0</v>
      </c>
      <c r="AC60" s="8">
        <f t="shared" si="48"/>
        <v>0</v>
      </c>
      <c r="AD60" s="8">
        <f t="shared" si="21"/>
        <v>0</v>
      </c>
      <c r="AE60" s="8">
        <f t="shared" ca="1" si="44"/>
        <v>0</v>
      </c>
      <c r="AF60" s="8">
        <f t="shared" ca="1" si="27"/>
        <v>-398.36348027878432</v>
      </c>
      <c r="AG60" s="8">
        <f t="shared" ca="1" si="28"/>
        <v>-398.36348027878432</v>
      </c>
    </row>
    <row r="61" spans="1:33" s="4" customFormat="1" ht="10.199999999999999">
      <c r="A61" s="4">
        <f t="shared" si="22"/>
        <v>45</v>
      </c>
      <c r="B61" s="9">
        <f t="shared" si="45"/>
        <v>62716</v>
      </c>
      <c r="C61" s="4">
        <f t="shared" si="30"/>
        <v>103</v>
      </c>
      <c r="D61" s="4">
        <f t="shared" ca="1" si="31"/>
        <v>1</v>
      </c>
      <c r="E61" s="4">
        <f t="shared" ca="1" si="23"/>
        <v>0</v>
      </c>
      <c r="F61" s="4">
        <f t="shared" ca="1" si="26"/>
        <v>0</v>
      </c>
      <c r="G61" s="4">
        <f t="shared" ca="1" si="32"/>
        <v>0</v>
      </c>
      <c r="H61" s="4">
        <f t="shared" si="33"/>
        <v>2.0692244084137335E-2</v>
      </c>
      <c r="I61" s="4">
        <f t="shared" si="34"/>
        <v>31.920449390293271</v>
      </c>
      <c r="J61" s="4">
        <f t="shared" si="35"/>
        <v>1</v>
      </c>
      <c r="K61" s="4">
        <f t="shared" ca="1" si="24"/>
        <v>0</v>
      </c>
      <c r="M61" s="6" t="e">
        <f t="shared" ca="1" si="46"/>
        <v>#DIV/0!</v>
      </c>
      <c r="N61" s="6">
        <f t="shared" ca="1" si="36"/>
        <v>21334398.239999998</v>
      </c>
      <c r="O61" s="4">
        <f t="shared" ca="1" si="47"/>
        <v>0</v>
      </c>
      <c r="P61" s="6" t="e">
        <f t="shared" ca="1" si="37"/>
        <v>#DIV/0!</v>
      </c>
      <c r="Q61" s="4">
        <f t="shared" si="38"/>
        <v>7.2650074349098717E-2</v>
      </c>
      <c r="R61" s="7" t="e">
        <f t="shared" ca="1" si="39"/>
        <v>#DIV/0!</v>
      </c>
      <c r="S61" s="7" t="e">
        <f ca="1">SUM($R$16:R61)</f>
        <v>#DIV/0!</v>
      </c>
      <c r="T61" s="7" t="e">
        <f t="shared" ca="1" si="17"/>
        <v>#DIV/0!</v>
      </c>
      <c r="U61" s="7"/>
      <c r="V61" s="7">
        <f t="shared" si="40"/>
        <v>105</v>
      </c>
      <c r="W61" s="159">
        <f t="shared" ca="1" si="41"/>
        <v>1</v>
      </c>
      <c r="X61" s="160">
        <f t="shared" ca="1" si="18"/>
        <v>0</v>
      </c>
      <c r="Y61" s="4">
        <f t="shared" ca="1" si="19"/>
        <v>0</v>
      </c>
      <c r="Z61" s="4">
        <f t="shared" si="42"/>
        <v>2.0692244084137335E-2</v>
      </c>
      <c r="AA61" s="4">
        <f t="shared" si="43"/>
        <v>31.920449390293271</v>
      </c>
      <c r="AB61" s="160">
        <f t="shared" ca="1" si="20"/>
        <v>0</v>
      </c>
      <c r="AC61" s="8">
        <f t="shared" si="48"/>
        <v>0</v>
      </c>
      <c r="AD61" s="8">
        <f t="shared" si="21"/>
        <v>0</v>
      </c>
      <c r="AE61" s="8">
        <f t="shared" ca="1" si="44"/>
        <v>0</v>
      </c>
      <c r="AF61" s="8">
        <f t="shared" ca="1" si="27"/>
        <v>-430.28392966907757</v>
      </c>
      <c r="AG61" s="8">
        <f t="shared" ca="1" si="28"/>
        <v>-430.28392966907757</v>
      </c>
    </row>
    <row r="62" spans="1:33" s="4" customFormat="1" ht="10.199999999999999">
      <c r="A62" s="4">
        <f t="shared" si="22"/>
        <v>46</v>
      </c>
      <c r="B62" s="9">
        <f t="shared" si="45"/>
        <v>63082</v>
      </c>
      <c r="C62" s="4">
        <f t="shared" si="30"/>
        <v>104</v>
      </c>
      <c r="D62" s="4">
        <f t="shared" ca="1" si="31"/>
        <v>1</v>
      </c>
      <c r="E62" s="4">
        <f t="shared" ca="1" si="23"/>
        <v>0</v>
      </c>
      <c r="F62" s="4">
        <f t="shared" ca="1" si="26"/>
        <v>0</v>
      </c>
      <c r="G62" s="4">
        <f t="shared" ca="1" si="32"/>
        <v>0</v>
      </c>
      <c r="H62" s="4">
        <f t="shared" si="33"/>
        <v>1.8983710168933333E-2</v>
      </c>
      <c r="I62" s="4">
        <f t="shared" si="34"/>
        <v>34.474085341516734</v>
      </c>
      <c r="J62" s="4">
        <f t="shared" si="35"/>
        <v>1</v>
      </c>
      <c r="K62" s="4">
        <f t="shared" ca="1" si="24"/>
        <v>0</v>
      </c>
      <c r="M62" s="6" t="e">
        <f t="shared" ca="1" si="46"/>
        <v>#DIV/0!</v>
      </c>
      <c r="N62" s="6">
        <f t="shared" ca="1" si="36"/>
        <v>23041150.100000001</v>
      </c>
      <c r="O62" s="4">
        <f t="shared" ca="1" si="47"/>
        <v>0</v>
      </c>
      <c r="P62" s="6" t="e">
        <f t="shared" ca="1" si="37"/>
        <v>#DIV/0!</v>
      </c>
      <c r="Q62" s="4">
        <f t="shared" si="38"/>
        <v>6.8537805989715761E-2</v>
      </c>
      <c r="R62" s="7" t="e">
        <f t="shared" ca="1" si="39"/>
        <v>#DIV/0!</v>
      </c>
      <c r="S62" s="7" t="e">
        <f ca="1">SUM($R$16:R62)</f>
        <v>#DIV/0!</v>
      </c>
      <c r="T62" s="7" t="e">
        <f t="shared" ca="1" si="17"/>
        <v>#DIV/0!</v>
      </c>
      <c r="U62" s="7"/>
      <c r="V62" s="7">
        <f t="shared" si="40"/>
        <v>106</v>
      </c>
      <c r="W62" s="159">
        <f t="shared" ca="1" si="41"/>
        <v>1</v>
      </c>
      <c r="X62" s="160">
        <f t="shared" ca="1" si="18"/>
        <v>0</v>
      </c>
      <c r="Y62" s="4">
        <f t="shared" ca="1" si="19"/>
        <v>0</v>
      </c>
      <c r="Z62" s="4">
        <f t="shared" si="42"/>
        <v>1.8983710168933333E-2</v>
      </c>
      <c r="AA62" s="4">
        <f t="shared" si="43"/>
        <v>34.474085341516734</v>
      </c>
      <c r="AB62" s="160">
        <f t="shared" ca="1" si="20"/>
        <v>0</v>
      </c>
      <c r="AC62" s="8">
        <f t="shared" si="48"/>
        <v>0</v>
      </c>
      <c r="AD62" s="8">
        <f t="shared" si="21"/>
        <v>0</v>
      </c>
      <c r="AE62" s="8">
        <f t="shared" ca="1" si="44"/>
        <v>0</v>
      </c>
      <c r="AF62" s="8">
        <f t="shared" ca="1" si="27"/>
        <v>-464.75801501059431</v>
      </c>
      <c r="AG62" s="8">
        <f t="shared" ca="1" si="28"/>
        <v>-464.75801501059431</v>
      </c>
    </row>
    <row r="63" spans="1:33" s="4" customFormat="1" ht="10.199999999999999">
      <c r="A63" s="4">
        <f t="shared" si="22"/>
        <v>47</v>
      </c>
      <c r="B63" s="9">
        <f t="shared" si="45"/>
        <v>63447</v>
      </c>
      <c r="C63" s="4">
        <f t="shared" si="30"/>
        <v>105</v>
      </c>
      <c r="D63" s="4">
        <f t="shared" ca="1" si="31"/>
        <v>1</v>
      </c>
      <c r="E63" s="4">
        <f t="shared" ca="1" si="23"/>
        <v>0</v>
      </c>
      <c r="F63" s="4">
        <f t="shared" ca="1" si="26"/>
        <v>0</v>
      </c>
      <c r="G63" s="4">
        <f t="shared" ca="1" si="32"/>
        <v>0</v>
      </c>
      <c r="H63" s="4">
        <f t="shared" si="33"/>
        <v>1.7416247861406726E-2</v>
      </c>
      <c r="I63" s="4">
        <f t="shared" si="34"/>
        <v>37.232012168838075</v>
      </c>
      <c r="J63" s="4">
        <f t="shared" si="35"/>
        <v>1</v>
      </c>
      <c r="K63" s="4">
        <f t="shared" ca="1" si="24"/>
        <v>0</v>
      </c>
      <c r="M63" s="6" t="e">
        <f t="shared" ca="1" si="46"/>
        <v>#DIV/0!</v>
      </c>
      <c r="N63" s="6">
        <f t="shared" ca="1" si="36"/>
        <v>24884442.100000001</v>
      </c>
      <c r="O63" s="4">
        <f t="shared" ca="1" si="47"/>
        <v>0</v>
      </c>
      <c r="P63" s="6" t="e">
        <f t="shared" ca="1" si="37"/>
        <v>#DIV/0!</v>
      </c>
      <c r="Q63" s="4">
        <f t="shared" si="38"/>
        <v>6.465830753746768E-2</v>
      </c>
      <c r="R63" s="7" t="e">
        <f t="shared" ca="1" si="39"/>
        <v>#DIV/0!</v>
      </c>
      <c r="S63" s="7" t="e">
        <f ca="1">SUM($R$16:R63)</f>
        <v>#DIV/0!</v>
      </c>
      <c r="T63" s="7" t="e">
        <f t="shared" ca="1" si="17"/>
        <v>#DIV/0!</v>
      </c>
      <c r="U63" s="7"/>
      <c r="V63" s="7">
        <f t="shared" si="40"/>
        <v>107</v>
      </c>
      <c r="W63" s="159">
        <f t="shared" ca="1" si="41"/>
        <v>1</v>
      </c>
      <c r="X63" s="160">
        <f t="shared" ca="1" si="18"/>
        <v>0</v>
      </c>
      <c r="Y63" s="4">
        <f t="shared" ca="1" si="19"/>
        <v>0</v>
      </c>
      <c r="Z63" s="4">
        <f t="shared" si="42"/>
        <v>1.7416247861406726E-2</v>
      </c>
      <c r="AA63" s="4">
        <f t="shared" si="43"/>
        <v>37.232012168838075</v>
      </c>
      <c r="AB63" s="160">
        <f t="shared" ca="1" si="20"/>
        <v>0</v>
      </c>
      <c r="AC63" s="8">
        <f t="shared" si="48"/>
        <v>0</v>
      </c>
      <c r="AD63" s="8">
        <f t="shared" si="21"/>
        <v>0</v>
      </c>
      <c r="AE63" s="8">
        <f t="shared" ca="1" si="44"/>
        <v>0</v>
      </c>
      <c r="AF63" s="8">
        <f t="shared" ca="1" si="27"/>
        <v>-501.99002717943239</v>
      </c>
      <c r="AG63" s="8">
        <f t="shared" ca="1" si="28"/>
        <v>-501.99002717943239</v>
      </c>
    </row>
    <row r="64" spans="1:33" s="4" customFormat="1" ht="10.199999999999999">
      <c r="A64" s="4">
        <f t="shared" si="22"/>
        <v>48</v>
      </c>
      <c r="B64" s="9">
        <f t="shared" si="45"/>
        <v>63812</v>
      </c>
      <c r="C64" s="4">
        <f t="shared" si="30"/>
        <v>106</v>
      </c>
      <c r="D64" s="4">
        <f t="shared" ca="1" si="31"/>
        <v>1</v>
      </c>
      <c r="E64" s="4">
        <f t="shared" ca="1" si="23"/>
        <v>0</v>
      </c>
      <c r="F64" s="4">
        <f t="shared" ca="1" si="26"/>
        <v>0</v>
      </c>
      <c r="G64" s="4">
        <f t="shared" ca="1" si="32"/>
        <v>0</v>
      </c>
      <c r="H64" s="4">
        <f t="shared" si="33"/>
        <v>1.5978209047162135E-2</v>
      </c>
      <c r="I64" s="4">
        <f t="shared" si="34"/>
        <v>40.210573142345126</v>
      </c>
      <c r="J64" s="4">
        <f t="shared" si="35"/>
        <v>1</v>
      </c>
      <c r="K64" s="4">
        <f t="shared" ca="1" si="24"/>
        <v>0</v>
      </c>
      <c r="M64" s="6" t="e">
        <f t="shared" ca="1" si="46"/>
        <v>#DIV/0!</v>
      </c>
      <c r="N64" s="6">
        <f t="shared" ca="1" si="36"/>
        <v>26875197.469999999</v>
      </c>
      <c r="O64" s="4">
        <f t="shared" ca="1" si="47"/>
        <v>0</v>
      </c>
      <c r="P64" s="6" t="e">
        <f t="shared" ca="1" si="37"/>
        <v>#DIV/0!</v>
      </c>
      <c r="Q64" s="4">
        <f t="shared" si="38"/>
        <v>6.0998403337233678E-2</v>
      </c>
      <c r="R64" s="7" t="e">
        <f t="shared" ca="1" si="39"/>
        <v>#DIV/0!</v>
      </c>
      <c r="S64" s="7" t="e">
        <f ca="1">SUM($R$16:R64)</f>
        <v>#DIV/0!</v>
      </c>
      <c r="T64" s="7" t="e">
        <f t="shared" ca="1" si="17"/>
        <v>#DIV/0!</v>
      </c>
      <c r="U64" s="7"/>
      <c r="V64" s="7">
        <f t="shared" si="40"/>
        <v>108</v>
      </c>
      <c r="W64" s="159">
        <f t="shared" ca="1" si="41"/>
        <v>1</v>
      </c>
      <c r="X64" s="160">
        <f t="shared" ca="1" si="18"/>
        <v>0</v>
      </c>
      <c r="Y64" s="4">
        <f t="shared" ca="1" si="19"/>
        <v>0</v>
      </c>
      <c r="Z64" s="4">
        <f t="shared" si="42"/>
        <v>1.5978209047162135E-2</v>
      </c>
      <c r="AA64" s="4">
        <f t="shared" si="43"/>
        <v>40.210573142345126</v>
      </c>
      <c r="AB64" s="160">
        <f t="shared" ca="1" si="20"/>
        <v>0</v>
      </c>
      <c r="AC64" s="8">
        <f t="shared" si="48"/>
        <v>0</v>
      </c>
      <c r="AD64" s="8">
        <f t="shared" si="21"/>
        <v>0</v>
      </c>
      <c r="AE64" s="8">
        <f t="shared" ca="1" si="44"/>
        <v>0</v>
      </c>
      <c r="AF64" s="8">
        <f t="shared" ca="1" si="27"/>
        <v>-542.20060032177753</v>
      </c>
      <c r="AG64" s="8">
        <f t="shared" ca="1" si="28"/>
        <v>-542.20060032177753</v>
      </c>
    </row>
    <row r="65" spans="1:33" s="4" customFormat="1" ht="10.199999999999999">
      <c r="A65" s="4">
        <f t="shared" si="22"/>
        <v>49</v>
      </c>
      <c r="B65" s="9">
        <f t="shared" si="45"/>
        <v>64177</v>
      </c>
      <c r="C65" s="4">
        <f t="shared" si="30"/>
        <v>107</v>
      </c>
      <c r="D65" s="4">
        <f t="shared" ca="1" si="31"/>
        <v>1</v>
      </c>
      <c r="E65" s="4">
        <f t="shared" ca="1" si="23"/>
        <v>0</v>
      </c>
      <c r="F65" s="4">
        <f t="shared" ca="1" si="26"/>
        <v>0</v>
      </c>
      <c r="G65" s="4">
        <f t="shared" ca="1" si="32"/>
        <v>0</v>
      </c>
      <c r="H65" s="4">
        <f t="shared" si="33"/>
        <v>1.4658907382717554E-2</v>
      </c>
      <c r="I65" s="4">
        <f t="shared" si="34"/>
        <v>43.427418993732736</v>
      </c>
      <c r="J65" s="4">
        <f t="shared" si="35"/>
        <v>1</v>
      </c>
      <c r="K65" s="4">
        <f t="shared" ca="1" si="24"/>
        <v>0</v>
      </c>
      <c r="M65" s="6" t="e">
        <f t="shared" ca="1" si="46"/>
        <v>#DIV/0!</v>
      </c>
      <c r="N65" s="6">
        <f t="shared" ca="1" si="36"/>
        <v>29025213.27</v>
      </c>
      <c r="O65" s="4">
        <f t="shared" ca="1" si="47"/>
        <v>0</v>
      </c>
      <c r="P65" s="6" t="e">
        <f t="shared" ca="1" si="37"/>
        <v>#DIV/0!</v>
      </c>
      <c r="Q65" s="4">
        <f t="shared" si="38"/>
        <v>5.7545663525692139E-2</v>
      </c>
      <c r="R65" s="7" t="e">
        <f t="shared" ca="1" si="39"/>
        <v>#DIV/0!</v>
      </c>
      <c r="S65" s="7" t="e">
        <f ca="1">SUM($R$16:R65)</f>
        <v>#DIV/0!</v>
      </c>
      <c r="T65" s="7" t="e">
        <f t="shared" ca="1" si="17"/>
        <v>#DIV/0!</v>
      </c>
      <c r="U65" s="7"/>
      <c r="V65" s="7">
        <f t="shared" si="40"/>
        <v>109</v>
      </c>
      <c r="W65" s="159">
        <f t="shared" ca="1" si="41"/>
        <v>1</v>
      </c>
      <c r="X65" s="160">
        <f t="shared" ca="1" si="18"/>
        <v>0</v>
      </c>
      <c r="Y65" s="4">
        <f t="shared" ca="1" si="19"/>
        <v>0</v>
      </c>
      <c r="Z65" s="4">
        <f t="shared" si="42"/>
        <v>1.4658907382717554E-2</v>
      </c>
      <c r="AA65" s="4">
        <f t="shared" si="43"/>
        <v>43.427418993732736</v>
      </c>
      <c r="AB65" s="160">
        <f t="shared" ca="1" si="20"/>
        <v>0</v>
      </c>
      <c r="AC65" s="8">
        <f t="shared" si="48"/>
        <v>0</v>
      </c>
      <c r="AD65" s="8">
        <f t="shared" si="21"/>
        <v>0</v>
      </c>
      <c r="AE65" s="8">
        <f t="shared" ca="1" si="44"/>
        <v>0</v>
      </c>
      <c r="AF65" s="8">
        <f t="shared" ca="1" si="27"/>
        <v>-585.6280193155103</v>
      </c>
      <c r="AG65" s="8">
        <f t="shared" ca="1" si="28"/>
        <v>-585.6280193155103</v>
      </c>
    </row>
    <row r="66" spans="1:33" s="4" customFormat="1" ht="10.199999999999999">
      <c r="A66" s="4">
        <f t="shared" si="22"/>
        <v>50</v>
      </c>
      <c r="B66" s="9">
        <f t="shared" si="45"/>
        <v>64543</v>
      </c>
      <c r="C66" s="4">
        <f t="shared" si="30"/>
        <v>108</v>
      </c>
      <c r="D66" s="4">
        <f t="shared" ca="1" si="31"/>
        <v>1</v>
      </c>
      <c r="E66" s="4">
        <f t="shared" ca="1" si="23"/>
        <v>0</v>
      </c>
      <c r="F66" s="4">
        <f t="shared" ca="1" si="26"/>
        <v>0</v>
      </c>
      <c r="G66" s="4">
        <f t="shared" ca="1" si="32"/>
        <v>0</v>
      </c>
      <c r="H66" s="4">
        <f t="shared" si="33"/>
        <v>1.3448538883227112E-2</v>
      </c>
      <c r="I66" s="4">
        <f t="shared" si="34"/>
        <v>46.901612513231356</v>
      </c>
      <c r="J66" s="4">
        <f t="shared" si="35"/>
        <v>1</v>
      </c>
      <c r="K66" s="4">
        <f t="shared" ca="1" si="24"/>
        <v>0</v>
      </c>
      <c r="M66" s="6" t="e">
        <f t="shared" ca="1" si="46"/>
        <v>#DIV/0!</v>
      </c>
      <c r="N66" s="6">
        <f t="shared" ca="1" si="36"/>
        <v>31347230.329999998</v>
      </c>
      <c r="O66" s="4">
        <f t="shared" ca="1" si="47"/>
        <v>0</v>
      </c>
      <c r="P66" s="6" t="e">
        <f t="shared" ca="1" si="37"/>
        <v>#DIV/0!</v>
      </c>
      <c r="Q66" s="4">
        <f t="shared" si="38"/>
        <v>5.4288361816690701E-2</v>
      </c>
      <c r="R66" s="7" t="e">
        <f t="shared" ca="1" si="39"/>
        <v>#DIV/0!</v>
      </c>
      <c r="S66" s="7" t="e">
        <f ca="1">SUM($R$16:R66)</f>
        <v>#DIV/0!</v>
      </c>
      <c r="T66" s="7"/>
      <c r="U66" s="7"/>
      <c r="V66" s="7">
        <f t="shared" si="40"/>
        <v>110</v>
      </c>
      <c r="W66" s="159">
        <f t="shared" ca="1" si="41"/>
        <v>1</v>
      </c>
      <c r="X66" s="160">
        <f t="shared" ca="1" si="18"/>
        <v>0</v>
      </c>
      <c r="Y66" s="4">
        <f t="shared" ca="1" si="19"/>
        <v>0</v>
      </c>
      <c r="Z66" s="4">
        <f t="shared" si="42"/>
        <v>1.3448538883227112E-2</v>
      </c>
      <c r="AA66" s="4">
        <f t="shared" si="43"/>
        <v>46.901612513231356</v>
      </c>
      <c r="AB66" s="160">
        <f t="shared" ca="1" si="20"/>
        <v>0</v>
      </c>
      <c r="AC66" s="8">
        <f t="shared" si="48"/>
        <v>0</v>
      </c>
      <c r="AD66" s="8">
        <f t="shared" si="21"/>
        <v>0</v>
      </c>
      <c r="AE66" s="8">
        <f t="shared" ca="1" si="44"/>
        <v>0</v>
      </c>
      <c r="AF66" s="8">
        <f t="shared" ca="1" si="27"/>
        <v>-632.52963182874169</v>
      </c>
      <c r="AG66" s="8">
        <f t="shared" ca="1" si="28"/>
        <v>-632.52963182874169</v>
      </c>
    </row>
    <row r="67" spans="1:33" s="4" customFormat="1" ht="10.199999999999999">
      <c r="A67" s="4">
        <f t="shared" si="22"/>
        <v>51</v>
      </c>
      <c r="B67" s="9">
        <f t="shared" si="45"/>
        <v>64908</v>
      </c>
      <c r="C67" s="4">
        <f t="shared" si="30"/>
        <v>109</v>
      </c>
      <c r="D67" s="4">
        <f t="shared" ca="1" si="31"/>
        <v>1</v>
      </c>
      <c r="E67" s="4">
        <f t="shared" ca="1" si="23"/>
        <v>0</v>
      </c>
      <c r="F67" s="4">
        <f t="shared" ca="1" si="26"/>
        <v>0</v>
      </c>
      <c r="G67" s="4">
        <f t="shared" ca="1" si="32"/>
        <v>0</v>
      </c>
      <c r="H67" s="4">
        <f t="shared" si="33"/>
        <v>1.2338109067180835E-2</v>
      </c>
      <c r="I67" s="4">
        <f t="shared" si="34"/>
        <v>50.653741514289869</v>
      </c>
      <c r="J67" s="4">
        <f t="shared" si="35"/>
        <v>1</v>
      </c>
      <c r="K67" s="4">
        <f t="shared" ca="1" si="24"/>
        <v>0</v>
      </c>
      <c r="M67" s="6" t="e">
        <f t="shared" ca="1" si="46"/>
        <v>#DIV/0!</v>
      </c>
      <c r="N67" s="6">
        <f t="shared" ca="1" si="36"/>
        <v>33855008.759999998</v>
      </c>
      <c r="O67" s="4">
        <f t="shared" ca="1" si="47"/>
        <v>0</v>
      </c>
      <c r="P67" s="6" t="e">
        <f t="shared" ca="1" si="37"/>
        <v>#DIV/0!</v>
      </c>
      <c r="Q67" s="4">
        <f t="shared" si="38"/>
        <v>5.12154356761233E-2</v>
      </c>
      <c r="R67" s="7" t="e">
        <f t="shared" ca="1" si="39"/>
        <v>#DIV/0!</v>
      </c>
      <c r="S67" s="7" t="e">
        <f ca="1">SUM($R$16:R67)</f>
        <v>#DIV/0!</v>
      </c>
      <c r="T67" s="7"/>
      <c r="U67" s="7"/>
      <c r="V67" s="7">
        <f t="shared" si="40"/>
        <v>0</v>
      </c>
      <c r="W67" s="159">
        <f t="shared" ca="1" si="41"/>
        <v>0</v>
      </c>
      <c r="X67" s="160">
        <f t="shared" ca="1" si="18"/>
        <v>0</v>
      </c>
      <c r="Y67" s="4">
        <f t="shared" ca="1" si="19"/>
        <v>0</v>
      </c>
      <c r="Z67" s="4">
        <f t="shared" si="42"/>
        <v>1.2338109067180835E-2</v>
      </c>
      <c r="AA67" s="4">
        <f t="shared" si="43"/>
        <v>50.653741514289869</v>
      </c>
      <c r="AB67" s="160">
        <f t="shared" ca="1" si="20"/>
        <v>0</v>
      </c>
      <c r="AC67" s="8">
        <f t="shared" si="48"/>
        <v>0</v>
      </c>
      <c r="AD67" s="8">
        <f t="shared" si="21"/>
        <v>0</v>
      </c>
      <c r="AE67" s="8">
        <f t="shared" ca="1" si="44"/>
        <v>0</v>
      </c>
      <c r="AF67" s="8">
        <f t="shared" ca="1" si="27"/>
        <v>-683.18337334303158</v>
      </c>
      <c r="AG67" s="8">
        <f t="shared" ca="1" si="28"/>
        <v>-683.18337334303158</v>
      </c>
    </row>
    <row r="68" spans="1:33" s="4" customFormat="1" ht="10.199999999999999">
      <c r="A68" s="4">
        <f t="shared" si="22"/>
        <v>52</v>
      </c>
      <c r="B68" s="9">
        <f t="shared" si="45"/>
        <v>65273</v>
      </c>
      <c r="C68" s="4">
        <f t="shared" si="30"/>
        <v>110</v>
      </c>
      <c r="D68" s="4">
        <f t="shared" ca="1" si="31"/>
        <v>1</v>
      </c>
      <c r="E68" s="4">
        <f t="shared" ca="1" si="23"/>
        <v>0</v>
      </c>
      <c r="F68" s="4">
        <f t="shared" ca="1" si="26"/>
        <v>0</v>
      </c>
      <c r="G68" s="4">
        <f t="shared" ca="1" si="32"/>
        <v>0</v>
      </c>
      <c r="H68" s="4">
        <f t="shared" si="33"/>
        <v>1.1319366116679667E-2</v>
      </c>
      <c r="I68" s="4">
        <f t="shared" si="34"/>
        <v>54.706040835433065</v>
      </c>
      <c r="J68" s="4">
        <f t="shared" si="35"/>
        <v>1</v>
      </c>
      <c r="K68" s="4">
        <f t="shared" ca="1" si="24"/>
        <v>0</v>
      </c>
      <c r="M68" s="6" t="e">
        <f t="shared" ca="1" si="46"/>
        <v>#DIV/0!</v>
      </c>
      <c r="N68" s="6">
        <f t="shared" ca="1" si="36"/>
        <v>36563409.460000001</v>
      </c>
      <c r="O68" s="4">
        <f t="shared" ca="1" si="47"/>
        <v>0</v>
      </c>
      <c r="P68" s="6" t="e">
        <f t="shared" ca="1" si="37"/>
        <v>#DIV/0!</v>
      </c>
      <c r="Q68" s="4">
        <f t="shared" si="38"/>
        <v>4.8316448751059712E-2</v>
      </c>
      <c r="R68" s="7" t="e">
        <f t="shared" ca="1" si="39"/>
        <v>#DIV/0!</v>
      </c>
      <c r="S68" s="7" t="e">
        <f ca="1">SUM($R$16:R68)</f>
        <v>#DIV/0!</v>
      </c>
      <c r="T68" s="7"/>
      <c r="U68" s="7"/>
      <c r="V68" s="7">
        <f t="shared" si="40"/>
        <v>0</v>
      </c>
      <c r="W68" s="159">
        <f t="shared" ca="1" si="41"/>
        <v>0</v>
      </c>
      <c r="X68" s="160">
        <f t="shared" ca="1" si="18"/>
        <v>0</v>
      </c>
      <c r="Y68" s="4">
        <f t="shared" ca="1" si="19"/>
        <v>0</v>
      </c>
      <c r="Z68" s="4">
        <f t="shared" si="42"/>
        <v>1.1319366116679667E-2</v>
      </c>
      <c r="AA68" s="4">
        <f t="shared" si="43"/>
        <v>54.706040835433065</v>
      </c>
      <c r="AB68" s="160">
        <f t="shared" ca="1" si="20"/>
        <v>0</v>
      </c>
      <c r="AC68" s="8">
        <f t="shared" si="48"/>
        <v>0</v>
      </c>
      <c r="AD68" s="8">
        <f t="shared" si="21"/>
        <v>0</v>
      </c>
      <c r="AE68" s="8">
        <f t="shared" ca="1" si="44"/>
        <v>0</v>
      </c>
      <c r="AF68" s="8">
        <f t="shared" ca="1" si="27"/>
        <v>-737.88941417846468</v>
      </c>
      <c r="AG68" s="8">
        <f t="shared" ca="1" si="28"/>
        <v>-737.88941417846468</v>
      </c>
    </row>
    <row r="69" spans="1:33" s="4" customFormat="1" ht="10.199999999999999">
      <c r="A69" s="4">
        <f t="shared" si="22"/>
        <v>53</v>
      </c>
      <c r="B69" s="9">
        <f t="shared" si="45"/>
        <v>0</v>
      </c>
      <c r="C69" s="4">
        <f t="shared" si="30"/>
        <v>0</v>
      </c>
      <c r="D69" s="4">
        <f t="shared" ca="1" si="31"/>
        <v>0</v>
      </c>
      <c r="E69" s="4">
        <f t="shared" ca="1" si="23"/>
        <v>0</v>
      </c>
      <c r="F69" s="4">
        <f t="shared" ca="1" si="26"/>
        <v>0</v>
      </c>
      <c r="G69" s="4">
        <f t="shared" ca="1" si="32"/>
        <v>0</v>
      </c>
      <c r="H69" s="4">
        <f t="shared" si="33"/>
        <v>0</v>
      </c>
      <c r="I69" s="4">
        <f t="shared" si="34"/>
        <v>0</v>
      </c>
      <c r="J69" s="4">
        <f t="shared" si="35"/>
        <v>0</v>
      </c>
      <c r="K69" s="4">
        <f t="shared" ca="1" si="24"/>
        <v>0</v>
      </c>
      <c r="M69" s="6">
        <f t="shared" si="46"/>
        <v>0</v>
      </c>
      <c r="N69" s="6">
        <f t="shared" ca="1" si="36"/>
        <v>0</v>
      </c>
      <c r="O69" s="4">
        <f t="shared" ca="1" si="47"/>
        <v>0</v>
      </c>
      <c r="P69" s="6">
        <f t="shared" ca="1" si="37"/>
        <v>0</v>
      </c>
      <c r="Q69" s="4">
        <f t="shared" si="38"/>
        <v>0</v>
      </c>
      <c r="R69" s="7">
        <f t="shared" ca="1" si="39"/>
        <v>0</v>
      </c>
      <c r="S69" s="7" t="e">
        <f ca="1">SUM($R$16:R69)</f>
        <v>#DIV/0!</v>
      </c>
      <c r="T69" s="7"/>
      <c r="U69" s="7"/>
      <c r="V69" s="7">
        <f t="shared" si="40"/>
        <v>0</v>
      </c>
      <c r="W69" s="159">
        <f t="shared" ca="1" si="41"/>
        <v>0</v>
      </c>
      <c r="X69" s="160">
        <f t="shared" ca="1" si="18"/>
        <v>0</v>
      </c>
      <c r="Y69" s="4">
        <f t="shared" ca="1" si="19"/>
        <v>0</v>
      </c>
      <c r="Z69" s="4">
        <f t="shared" si="42"/>
        <v>0</v>
      </c>
      <c r="AA69" s="4">
        <f t="shared" si="43"/>
        <v>0</v>
      </c>
      <c r="AB69" s="160">
        <f t="shared" ca="1" si="20"/>
        <v>0</v>
      </c>
      <c r="AC69" s="8">
        <f t="shared" si="48"/>
        <v>0</v>
      </c>
      <c r="AD69" s="8">
        <f t="shared" si="21"/>
        <v>0</v>
      </c>
      <c r="AE69" s="8">
        <f t="shared" ca="1" si="44"/>
        <v>0</v>
      </c>
      <c r="AF69" s="8">
        <f t="shared" ca="1" si="27"/>
        <v>-737.88941417846468</v>
      </c>
      <c r="AG69" s="8">
        <f t="shared" ca="1" si="28"/>
        <v>-737.88941417846468</v>
      </c>
    </row>
    <row r="70" spans="1:33" s="4" customFormat="1" ht="10.199999999999999">
      <c r="A70" s="4">
        <f t="shared" si="22"/>
        <v>54</v>
      </c>
      <c r="B70" s="9">
        <f t="shared" si="45"/>
        <v>0</v>
      </c>
      <c r="C70" s="4">
        <f t="shared" si="30"/>
        <v>0</v>
      </c>
      <c r="D70" s="4">
        <f t="shared" ca="1" si="31"/>
        <v>0</v>
      </c>
      <c r="E70" s="4">
        <f t="shared" ca="1" si="23"/>
        <v>0</v>
      </c>
      <c r="F70" s="4">
        <f t="shared" ca="1" si="26"/>
        <v>0</v>
      </c>
      <c r="G70" s="4">
        <f t="shared" ca="1" si="32"/>
        <v>0</v>
      </c>
      <c r="H70" s="4">
        <f t="shared" si="33"/>
        <v>0</v>
      </c>
      <c r="I70" s="4">
        <f t="shared" si="34"/>
        <v>0</v>
      </c>
      <c r="J70" s="4">
        <f t="shared" si="35"/>
        <v>0</v>
      </c>
      <c r="K70" s="4">
        <f t="shared" ca="1" si="24"/>
        <v>0</v>
      </c>
      <c r="M70" s="6">
        <f t="shared" si="46"/>
        <v>0</v>
      </c>
      <c r="N70" s="6">
        <f t="shared" ca="1" si="36"/>
        <v>0</v>
      </c>
      <c r="O70" s="4">
        <f t="shared" ca="1" si="47"/>
        <v>0</v>
      </c>
      <c r="P70" s="6">
        <f t="shared" ca="1" si="37"/>
        <v>0</v>
      </c>
      <c r="Q70" s="4">
        <f t="shared" si="38"/>
        <v>0</v>
      </c>
      <c r="R70" s="7">
        <f t="shared" ca="1" si="39"/>
        <v>0</v>
      </c>
      <c r="S70" s="7" t="e">
        <f ca="1">SUM($R$16:R70)</f>
        <v>#DIV/0!</v>
      </c>
      <c r="T70" s="7"/>
      <c r="U70" s="7"/>
      <c r="V70" s="7">
        <f t="shared" si="40"/>
        <v>0</v>
      </c>
      <c r="W70" s="159">
        <f t="shared" ca="1" si="41"/>
        <v>0</v>
      </c>
      <c r="X70" s="160">
        <f t="shared" ca="1" si="18"/>
        <v>0</v>
      </c>
      <c r="Y70" s="4">
        <f t="shared" ca="1" si="19"/>
        <v>0</v>
      </c>
      <c r="Z70" s="4">
        <f t="shared" si="42"/>
        <v>0</v>
      </c>
      <c r="AA70" s="4">
        <f t="shared" si="43"/>
        <v>0</v>
      </c>
      <c r="AB70" s="160">
        <f t="shared" ca="1" si="20"/>
        <v>0</v>
      </c>
      <c r="AC70" s="8">
        <f t="shared" si="48"/>
        <v>0</v>
      </c>
      <c r="AD70" s="8">
        <f t="shared" si="21"/>
        <v>0</v>
      </c>
      <c r="AE70" s="8">
        <f t="shared" ca="1" si="44"/>
        <v>0</v>
      </c>
      <c r="AF70" s="8">
        <f t="shared" ca="1" si="27"/>
        <v>-737.88941417846468</v>
      </c>
      <c r="AG70" s="8">
        <f t="shared" ca="1" si="28"/>
        <v>-737.88941417846468</v>
      </c>
    </row>
    <row r="71" spans="1:33" s="4" customFormat="1" ht="10.199999999999999">
      <c r="A71" s="4">
        <f t="shared" si="22"/>
        <v>55</v>
      </c>
      <c r="B71" s="9">
        <f t="shared" si="45"/>
        <v>0</v>
      </c>
      <c r="C71" s="4">
        <f t="shared" si="30"/>
        <v>0</v>
      </c>
      <c r="D71" s="4">
        <f t="shared" ca="1" si="31"/>
        <v>0</v>
      </c>
      <c r="E71" s="4">
        <f t="shared" ca="1" si="23"/>
        <v>0</v>
      </c>
      <c r="F71" s="4">
        <f t="shared" ca="1" si="26"/>
        <v>0</v>
      </c>
      <c r="G71" s="4">
        <f t="shared" ca="1" si="32"/>
        <v>0</v>
      </c>
      <c r="H71" s="4">
        <f t="shared" si="33"/>
        <v>0</v>
      </c>
      <c r="I71" s="4">
        <f t="shared" si="34"/>
        <v>0</v>
      </c>
      <c r="J71" s="4">
        <f t="shared" si="35"/>
        <v>0</v>
      </c>
      <c r="K71" s="4">
        <f t="shared" ca="1" si="24"/>
        <v>0</v>
      </c>
      <c r="M71" s="6">
        <f t="shared" si="46"/>
        <v>0</v>
      </c>
      <c r="N71" s="6">
        <f t="shared" ca="1" si="36"/>
        <v>0</v>
      </c>
      <c r="O71" s="4">
        <f t="shared" ca="1" si="47"/>
        <v>0</v>
      </c>
      <c r="P71" s="6">
        <f t="shared" ca="1" si="37"/>
        <v>0</v>
      </c>
      <c r="Q71" s="4">
        <f t="shared" si="38"/>
        <v>0</v>
      </c>
      <c r="R71" s="7">
        <f t="shared" ca="1" si="39"/>
        <v>0</v>
      </c>
      <c r="S71" s="7" t="e">
        <f ca="1">SUM($R$16:R71)</f>
        <v>#DIV/0!</v>
      </c>
      <c r="T71" s="7"/>
      <c r="U71" s="7"/>
      <c r="V71" s="7">
        <f t="shared" si="40"/>
        <v>0</v>
      </c>
      <c r="W71" s="159">
        <f t="shared" ca="1" si="41"/>
        <v>0</v>
      </c>
      <c r="X71" s="160">
        <f t="shared" ca="1" si="18"/>
        <v>0</v>
      </c>
      <c r="Y71" s="4">
        <f t="shared" ca="1" si="19"/>
        <v>0</v>
      </c>
      <c r="Z71" s="4">
        <f t="shared" si="42"/>
        <v>0</v>
      </c>
      <c r="AA71" s="4">
        <f t="shared" si="43"/>
        <v>0</v>
      </c>
      <c r="AB71" s="160">
        <f t="shared" ca="1" si="20"/>
        <v>0</v>
      </c>
      <c r="AC71" s="8">
        <f t="shared" si="48"/>
        <v>0</v>
      </c>
      <c r="AD71" s="8">
        <f t="shared" si="21"/>
        <v>0</v>
      </c>
      <c r="AE71" s="8">
        <f t="shared" ca="1" si="44"/>
        <v>0</v>
      </c>
      <c r="AF71" s="8">
        <f t="shared" ca="1" si="27"/>
        <v>-737.88941417846468</v>
      </c>
      <c r="AG71" s="8">
        <f t="shared" ca="1" si="28"/>
        <v>-737.88941417846468</v>
      </c>
    </row>
    <row r="72" spans="1:33" s="4" customFormat="1" ht="10.199999999999999">
      <c r="A72" s="4">
        <f t="shared" si="22"/>
        <v>56</v>
      </c>
      <c r="B72" s="9">
        <f t="shared" si="45"/>
        <v>0</v>
      </c>
      <c r="C72" s="4">
        <f t="shared" si="30"/>
        <v>0</v>
      </c>
      <c r="D72" s="4">
        <f t="shared" ca="1" si="31"/>
        <v>0</v>
      </c>
      <c r="E72" s="4">
        <f t="shared" ca="1" si="23"/>
        <v>0</v>
      </c>
      <c r="F72" s="4">
        <f t="shared" ca="1" si="26"/>
        <v>0</v>
      </c>
      <c r="G72" s="4">
        <f t="shared" ca="1" si="32"/>
        <v>0</v>
      </c>
      <c r="H72" s="4">
        <f t="shared" si="33"/>
        <v>0</v>
      </c>
      <c r="I72" s="4">
        <f t="shared" si="34"/>
        <v>0</v>
      </c>
      <c r="J72" s="4">
        <f t="shared" si="35"/>
        <v>0</v>
      </c>
      <c r="K72" s="4">
        <f t="shared" ca="1" si="24"/>
        <v>0</v>
      </c>
      <c r="M72" s="6">
        <f t="shared" si="46"/>
        <v>0</v>
      </c>
      <c r="N72" s="6">
        <f t="shared" ca="1" si="36"/>
        <v>0</v>
      </c>
      <c r="O72" s="4">
        <f t="shared" ca="1" si="47"/>
        <v>0</v>
      </c>
      <c r="P72" s="6">
        <f t="shared" ca="1" si="37"/>
        <v>0</v>
      </c>
      <c r="Q72" s="4">
        <f t="shared" si="38"/>
        <v>0</v>
      </c>
      <c r="R72" s="7">
        <f t="shared" ca="1" si="39"/>
        <v>0</v>
      </c>
      <c r="S72" s="7" t="e">
        <f ca="1">SUM($R$16:R72)</f>
        <v>#DIV/0!</v>
      </c>
      <c r="T72" s="7"/>
      <c r="U72" s="7"/>
      <c r="V72" s="7">
        <f t="shared" si="40"/>
        <v>0</v>
      </c>
      <c r="W72" s="159">
        <f t="shared" ca="1" si="41"/>
        <v>0</v>
      </c>
      <c r="X72" s="160">
        <f t="shared" ca="1" si="18"/>
        <v>0</v>
      </c>
      <c r="Y72" s="4">
        <f t="shared" ca="1" si="19"/>
        <v>0</v>
      </c>
      <c r="Z72" s="4">
        <f t="shared" si="42"/>
        <v>0</v>
      </c>
      <c r="AA72" s="4">
        <f t="shared" si="43"/>
        <v>0</v>
      </c>
      <c r="AB72" s="160">
        <f t="shared" ca="1" si="20"/>
        <v>0</v>
      </c>
      <c r="AC72" s="8">
        <f t="shared" si="48"/>
        <v>0</v>
      </c>
      <c r="AD72" s="8">
        <f t="shared" si="21"/>
        <v>0</v>
      </c>
      <c r="AE72" s="8">
        <f t="shared" si="44"/>
        <v>0</v>
      </c>
      <c r="AF72" s="8"/>
    </row>
    <row r="73" spans="1:33" s="4" customFormat="1" ht="10.199999999999999">
      <c r="A73" s="4">
        <f t="shared" si="22"/>
        <v>57</v>
      </c>
      <c r="B73" s="9">
        <f t="shared" si="45"/>
        <v>0</v>
      </c>
      <c r="C73" s="4">
        <f t="shared" si="30"/>
        <v>0</v>
      </c>
      <c r="D73" s="4">
        <f t="shared" ca="1" si="31"/>
        <v>0</v>
      </c>
      <c r="E73" s="4">
        <f t="shared" ca="1" si="23"/>
        <v>0</v>
      </c>
      <c r="F73" s="4">
        <f t="shared" ca="1" si="26"/>
        <v>0</v>
      </c>
      <c r="G73" s="4">
        <f t="shared" ca="1" si="32"/>
        <v>0</v>
      </c>
      <c r="H73" s="4">
        <f t="shared" si="33"/>
        <v>0</v>
      </c>
      <c r="I73" s="4">
        <f t="shared" si="34"/>
        <v>0</v>
      </c>
      <c r="J73" s="4">
        <f t="shared" si="35"/>
        <v>0</v>
      </c>
      <c r="K73" s="4">
        <f t="shared" ca="1" si="24"/>
        <v>0</v>
      </c>
      <c r="M73" s="6">
        <f t="shared" si="46"/>
        <v>0</v>
      </c>
      <c r="N73" s="6">
        <f t="shared" ca="1" si="36"/>
        <v>0</v>
      </c>
      <c r="O73" s="4">
        <f t="shared" ca="1" si="47"/>
        <v>0</v>
      </c>
      <c r="P73" s="6">
        <f t="shared" ca="1" si="37"/>
        <v>0</v>
      </c>
      <c r="Q73" s="4">
        <f t="shared" si="38"/>
        <v>0</v>
      </c>
      <c r="R73" s="7">
        <f t="shared" ca="1" si="39"/>
        <v>0</v>
      </c>
      <c r="S73" s="7" t="e">
        <f ca="1">SUM($R$16:R73)</f>
        <v>#DIV/0!</v>
      </c>
      <c r="T73" s="7"/>
      <c r="U73" s="7"/>
      <c r="V73" s="7">
        <f t="shared" si="40"/>
        <v>0</v>
      </c>
      <c r="W73" s="159">
        <f t="shared" ca="1" si="41"/>
        <v>0</v>
      </c>
      <c r="X73" s="160">
        <f t="shared" ca="1" si="18"/>
        <v>0</v>
      </c>
      <c r="Y73" s="4">
        <f t="shared" ca="1" si="19"/>
        <v>0</v>
      </c>
      <c r="Z73" s="4">
        <f t="shared" si="42"/>
        <v>0</v>
      </c>
      <c r="AA73" s="4">
        <f t="shared" si="43"/>
        <v>0</v>
      </c>
      <c r="AB73" s="160">
        <f t="shared" ca="1" si="20"/>
        <v>0</v>
      </c>
      <c r="AC73" s="8">
        <f t="shared" si="48"/>
        <v>0</v>
      </c>
      <c r="AD73" s="8">
        <f t="shared" si="21"/>
        <v>0</v>
      </c>
      <c r="AE73" s="8">
        <f t="shared" si="44"/>
        <v>0</v>
      </c>
      <c r="AF73" s="8"/>
    </row>
    <row r="74" spans="1:33" s="4" customFormat="1" ht="10.199999999999999">
      <c r="A74" s="4">
        <f t="shared" si="22"/>
        <v>58</v>
      </c>
      <c r="B74" s="9">
        <f t="shared" si="45"/>
        <v>0</v>
      </c>
      <c r="C74" s="4">
        <f t="shared" si="30"/>
        <v>0</v>
      </c>
      <c r="D74" s="4">
        <f t="shared" ca="1" si="31"/>
        <v>0</v>
      </c>
      <c r="E74" s="4">
        <f t="shared" ca="1" si="23"/>
        <v>0</v>
      </c>
      <c r="F74" s="4">
        <f t="shared" ca="1" si="26"/>
        <v>0</v>
      </c>
      <c r="G74" s="4">
        <f t="shared" ca="1" si="32"/>
        <v>0</v>
      </c>
      <c r="H74" s="4">
        <f t="shared" si="33"/>
        <v>0</v>
      </c>
      <c r="I74" s="4">
        <f t="shared" si="34"/>
        <v>0</v>
      </c>
      <c r="J74" s="4">
        <f t="shared" si="35"/>
        <v>0</v>
      </c>
      <c r="K74" s="4">
        <f t="shared" ca="1" si="24"/>
        <v>0</v>
      </c>
      <c r="M74" s="6">
        <f t="shared" si="46"/>
        <v>0</v>
      </c>
      <c r="N74" s="6">
        <f t="shared" ca="1" si="36"/>
        <v>0</v>
      </c>
      <c r="O74" s="4">
        <f t="shared" ca="1" si="47"/>
        <v>0</v>
      </c>
      <c r="P74" s="6">
        <f t="shared" ca="1" si="37"/>
        <v>0</v>
      </c>
      <c r="Q74" s="4">
        <f t="shared" si="38"/>
        <v>0</v>
      </c>
      <c r="R74" s="7">
        <f t="shared" ca="1" si="39"/>
        <v>0</v>
      </c>
      <c r="S74" s="7" t="e">
        <f ca="1">SUM($R$16:R74)</f>
        <v>#DIV/0!</v>
      </c>
      <c r="T74" s="7"/>
      <c r="U74" s="7"/>
      <c r="V74" s="7">
        <f t="shared" si="40"/>
        <v>0</v>
      </c>
      <c r="W74" s="159">
        <f t="shared" ca="1" si="41"/>
        <v>0</v>
      </c>
      <c r="X74" s="160">
        <f t="shared" ca="1" si="18"/>
        <v>0</v>
      </c>
      <c r="Y74" s="4">
        <f t="shared" ca="1" si="19"/>
        <v>0</v>
      </c>
      <c r="Z74" s="4">
        <f t="shared" si="42"/>
        <v>0</v>
      </c>
      <c r="AA74" s="4">
        <f t="shared" si="43"/>
        <v>0</v>
      </c>
      <c r="AB74" s="160">
        <f t="shared" ca="1" si="20"/>
        <v>0</v>
      </c>
      <c r="AC74" s="8">
        <f t="shared" si="48"/>
        <v>0</v>
      </c>
      <c r="AD74" s="8">
        <f t="shared" si="21"/>
        <v>0</v>
      </c>
      <c r="AE74" s="8">
        <f t="shared" si="44"/>
        <v>0</v>
      </c>
      <c r="AF74" s="8"/>
    </row>
    <row r="75" spans="1:33" s="4" customFormat="1" ht="10.199999999999999">
      <c r="A75" s="4">
        <f t="shared" si="22"/>
        <v>59</v>
      </c>
      <c r="B75" s="9">
        <f t="shared" si="45"/>
        <v>0</v>
      </c>
      <c r="C75" s="4">
        <f t="shared" si="30"/>
        <v>0</v>
      </c>
      <c r="D75" s="4">
        <f t="shared" ca="1" si="31"/>
        <v>0</v>
      </c>
      <c r="E75" s="4">
        <f t="shared" ca="1" si="23"/>
        <v>0</v>
      </c>
      <c r="F75" s="4">
        <f t="shared" ca="1" si="26"/>
        <v>0</v>
      </c>
      <c r="G75" s="4">
        <f t="shared" ca="1" si="32"/>
        <v>0</v>
      </c>
      <c r="H75" s="4">
        <f t="shared" si="33"/>
        <v>0</v>
      </c>
      <c r="I75" s="4">
        <f t="shared" si="34"/>
        <v>0</v>
      </c>
      <c r="J75" s="4">
        <f t="shared" si="35"/>
        <v>0</v>
      </c>
      <c r="K75" s="4">
        <f t="shared" ca="1" si="24"/>
        <v>0</v>
      </c>
      <c r="M75" s="6">
        <f t="shared" si="46"/>
        <v>0</v>
      </c>
      <c r="N75" s="6">
        <f t="shared" ca="1" si="36"/>
        <v>0</v>
      </c>
      <c r="O75" s="4">
        <f t="shared" ca="1" si="47"/>
        <v>0</v>
      </c>
      <c r="P75" s="6">
        <f t="shared" ca="1" si="37"/>
        <v>0</v>
      </c>
      <c r="Q75" s="4">
        <f t="shared" si="38"/>
        <v>0</v>
      </c>
      <c r="R75" s="7">
        <f t="shared" ca="1" si="39"/>
        <v>0</v>
      </c>
      <c r="S75" s="7" t="e">
        <f ca="1">SUM($R$16:R75)</f>
        <v>#DIV/0!</v>
      </c>
      <c r="T75" s="7"/>
      <c r="U75" s="7"/>
      <c r="V75" s="7">
        <f t="shared" si="40"/>
        <v>0</v>
      </c>
      <c r="W75" s="159">
        <f t="shared" ca="1" si="41"/>
        <v>0</v>
      </c>
      <c r="X75" s="160">
        <f t="shared" ca="1" si="18"/>
        <v>0</v>
      </c>
      <c r="Y75" s="4">
        <f t="shared" ca="1" si="19"/>
        <v>0</v>
      </c>
      <c r="Z75" s="4">
        <f t="shared" si="42"/>
        <v>0</v>
      </c>
      <c r="AA75" s="4">
        <f t="shared" si="43"/>
        <v>0</v>
      </c>
      <c r="AB75" s="160">
        <f t="shared" ca="1" si="20"/>
        <v>0</v>
      </c>
      <c r="AC75" s="8">
        <f t="shared" si="48"/>
        <v>0</v>
      </c>
      <c r="AD75" s="8">
        <f t="shared" si="21"/>
        <v>0</v>
      </c>
      <c r="AE75" s="8">
        <f t="shared" si="44"/>
        <v>0</v>
      </c>
      <c r="AF75" s="8"/>
    </row>
    <row r="76" spans="1:33" s="4" customFormat="1" ht="10.199999999999999">
      <c r="A76" s="4">
        <f t="shared" si="22"/>
        <v>60</v>
      </c>
      <c r="B76" s="9">
        <f t="shared" si="45"/>
        <v>0</v>
      </c>
      <c r="C76" s="4">
        <f t="shared" si="30"/>
        <v>0</v>
      </c>
      <c r="D76" s="4">
        <f t="shared" ca="1" si="31"/>
        <v>0</v>
      </c>
      <c r="E76" s="4">
        <f t="shared" ca="1" si="23"/>
        <v>0</v>
      </c>
      <c r="F76" s="4">
        <f t="shared" ca="1" si="26"/>
        <v>0</v>
      </c>
      <c r="G76" s="4">
        <f t="shared" ca="1" si="32"/>
        <v>0</v>
      </c>
      <c r="H76" s="4">
        <f t="shared" si="33"/>
        <v>0</v>
      </c>
      <c r="I76" s="4">
        <f t="shared" si="34"/>
        <v>0</v>
      </c>
      <c r="J76" s="4">
        <f t="shared" si="35"/>
        <v>0</v>
      </c>
      <c r="K76" s="4">
        <f t="shared" ca="1" si="24"/>
        <v>0</v>
      </c>
      <c r="M76" s="6">
        <f t="shared" si="46"/>
        <v>0</v>
      </c>
      <c r="N76" s="6">
        <f t="shared" ca="1" si="36"/>
        <v>0</v>
      </c>
      <c r="O76" s="4">
        <f t="shared" ca="1" si="47"/>
        <v>0</v>
      </c>
      <c r="P76" s="6">
        <f t="shared" ca="1" si="37"/>
        <v>0</v>
      </c>
      <c r="Q76" s="4">
        <f t="shared" si="38"/>
        <v>0</v>
      </c>
      <c r="R76" s="7">
        <f t="shared" ca="1" si="39"/>
        <v>0</v>
      </c>
      <c r="S76" s="7" t="e">
        <f ca="1">SUM($R$16:R76)</f>
        <v>#DIV/0!</v>
      </c>
      <c r="T76" s="7"/>
      <c r="U76" s="7"/>
      <c r="V76" s="7">
        <f t="shared" si="40"/>
        <v>0</v>
      </c>
      <c r="W76" s="159">
        <f t="shared" ca="1" si="41"/>
        <v>0</v>
      </c>
      <c r="X76" s="160">
        <f t="shared" ca="1" si="18"/>
        <v>0</v>
      </c>
      <c r="Y76" s="4">
        <f t="shared" ca="1" si="19"/>
        <v>0</v>
      </c>
      <c r="Z76" s="4">
        <f t="shared" si="42"/>
        <v>0</v>
      </c>
      <c r="AA76" s="4">
        <f t="shared" si="43"/>
        <v>0</v>
      </c>
      <c r="AB76" s="160">
        <f t="shared" ca="1" si="20"/>
        <v>0</v>
      </c>
      <c r="AC76" s="8">
        <f t="shared" si="48"/>
        <v>0</v>
      </c>
      <c r="AD76" s="8">
        <f t="shared" si="21"/>
        <v>0</v>
      </c>
      <c r="AE76" s="8">
        <f t="shared" si="44"/>
        <v>0</v>
      </c>
      <c r="AF76" s="8"/>
    </row>
    <row r="77" spans="1:33" s="4" customFormat="1" ht="10.199999999999999">
      <c r="A77" s="4">
        <f t="shared" si="22"/>
        <v>61</v>
      </c>
      <c r="B77" s="9">
        <f t="shared" si="45"/>
        <v>0</v>
      </c>
      <c r="C77" s="4">
        <f t="shared" si="30"/>
        <v>0</v>
      </c>
      <c r="D77" s="4">
        <f t="shared" ca="1" si="31"/>
        <v>0</v>
      </c>
      <c r="E77" s="4">
        <f t="shared" ref="E77:E94" ca="1" si="49">(B77&gt;0)*(1-D77)</f>
        <v>0</v>
      </c>
      <c r="F77" s="4">
        <f t="shared" ref="F77:F94" ca="1" si="50">IF(A77=0,1,F76*E76)*(B77&gt;0)</f>
        <v>0</v>
      </c>
      <c r="G77" s="4">
        <f t="shared" ca="1" si="32"/>
        <v>0</v>
      </c>
      <c r="H77" s="4">
        <f t="shared" ref="H77:H94" si="51">(1+i)^(-A77)*(B77&gt;0)</f>
        <v>0</v>
      </c>
      <c r="I77" s="4">
        <f t="shared" ref="I77:I94" si="52">IF(A77=0,1,IF(YEAR(B77)=YEAR($B$15),1,1+index)*I76*(B77&gt;0))</f>
        <v>0</v>
      </c>
      <c r="J77" s="4">
        <f t="shared" si="35"/>
        <v>0</v>
      </c>
      <c r="K77" s="4">
        <f t="shared" ca="1" si="24"/>
        <v>0</v>
      </c>
      <c r="M77" s="6">
        <f t="shared" si="46"/>
        <v>0</v>
      </c>
      <c r="N77" s="6">
        <f t="shared" ca="1" si="36"/>
        <v>0</v>
      </c>
      <c r="O77" s="4">
        <f t="shared" ca="1" si="47"/>
        <v>0</v>
      </c>
      <c r="P77" s="6">
        <f t="shared" ca="1" si="37"/>
        <v>0</v>
      </c>
      <c r="Q77" s="4">
        <f t="shared" si="38"/>
        <v>0</v>
      </c>
      <c r="R77" s="7">
        <f t="shared" ca="1" si="39"/>
        <v>0</v>
      </c>
      <c r="S77" s="7" t="e">
        <f ca="1">SUM($R$16:R77)</f>
        <v>#DIV/0!</v>
      </c>
      <c r="T77" s="7"/>
      <c r="U77" s="7"/>
      <c r="V77" s="7">
        <f t="shared" si="40"/>
        <v>0</v>
      </c>
      <c r="W77" s="159">
        <f t="shared" ca="1" si="41"/>
        <v>0</v>
      </c>
      <c r="X77" s="160">
        <f t="shared" ca="1" si="18"/>
        <v>0</v>
      </c>
      <c r="Y77" s="4">
        <f t="shared" ca="1" si="19"/>
        <v>0</v>
      </c>
      <c r="Z77" s="4">
        <f t="shared" si="42"/>
        <v>0</v>
      </c>
      <c r="AA77" s="4">
        <f t="shared" si="43"/>
        <v>0</v>
      </c>
      <c r="AB77" s="160">
        <f t="shared" ca="1" si="20"/>
        <v>0</v>
      </c>
      <c r="AD77" s="8">
        <f t="shared" si="21"/>
        <v>0</v>
      </c>
    </row>
    <row r="78" spans="1:33" s="4" customFormat="1" ht="10.199999999999999">
      <c r="A78" s="4">
        <f t="shared" si="22"/>
        <v>62</v>
      </c>
      <c r="B78" s="9">
        <f t="shared" si="45"/>
        <v>0</v>
      </c>
      <c r="C78" s="4">
        <f t="shared" si="30"/>
        <v>0</v>
      </c>
      <c r="D78" s="4">
        <f t="shared" ca="1" si="31"/>
        <v>0</v>
      </c>
      <c r="E78" s="4">
        <f t="shared" ca="1" si="49"/>
        <v>0</v>
      </c>
      <c r="F78" s="4">
        <f t="shared" ca="1" si="50"/>
        <v>0</v>
      </c>
      <c r="G78" s="4">
        <f t="shared" ca="1" si="32"/>
        <v>0</v>
      </c>
      <c r="H78" s="4">
        <f t="shared" si="51"/>
        <v>0</v>
      </c>
      <c r="I78" s="4">
        <f t="shared" si="52"/>
        <v>0</v>
      </c>
      <c r="J78" s="4">
        <f t="shared" si="35"/>
        <v>0</v>
      </c>
      <c r="K78" s="4">
        <f t="shared" ca="1" si="24"/>
        <v>0</v>
      </c>
      <c r="M78" s="6">
        <f t="shared" si="46"/>
        <v>0</v>
      </c>
      <c r="N78" s="6">
        <f t="shared" ca="1" si="36"/>
        <v>0</v>
      </c>
      <c r="O78" s="4">
        <f t="shared" ca="1" si="47"/>
        <v>0</v>
      </c>
      <c r="P78" s="6">
        <f t="shared" ca="1" si="37"/>
        <v>0</v>
      </c>
      <c r="Q78" s="4">
        <f t="shared" si="38"/>
        <v>0</v>
      </c>
      <c r="R78" s="7">
        <f t="shared" ca="1" si="39"/>
        <v>0</v>
      </c>
      <c r="S78" s="7" t="e">
        <f ca="1">SUM($R$16:R78)</f>
        <v>#DIV/0!</v>
      </c>
      <c r="T78" s="7"/>
      <c r="U78" s="7"/>
      <c r="V78" s="7">
        <f t="shared" si="40"/>
        <v>0</v>
      </c>
      <c r="W78" s="159">
        <f t="shared" ca="1" si="41"/>
        <v>0</v>
      </c>
      <c r="X78" s="160">
        <f t="shared" ca="1" si="18"/>
        <v>0</v>
      </c>
      <c r="Y78" s="4">
        <f t="shared" ca="1" si="19"/>
        <v>0</v>
      </c>
      <c r="Z78" s="4">
        <f t="shared" si="42"/>
        <v>0</v>
      </c>
      <c r="AA78" s="4">
        <f t="shared" si="43"/>
        <v>0</v>
      </c>
      <c r="AB78" s="160">
        <f t="shared" ca="1" si="20"/>
        <v>0</v>
      </c>
      <c r="AD78" s="8">
        <f t="shared" si="21"/>
        <v>0</v>
      </c>
    </row>
    <row r="79" spans="1:33" s="4" customFormat="1" ht="10.199999999999999">
      <c r="A79" s="4">
        <f t="shared" si="22"/>
        <v>63</v>
      </c>
      <c r="B79" s="9">
        <f t="shared" si="45"/>
        <v>0</v>
      </c>
      <c r="C79" s="4">
        <f t="shared" ref="C79:C94" si="53">(B79&gt;0)*ROUNDDOWN(YEARFRAC(VALUE(d_birth),B79),0)</f>
        <v>0</v>
      </c>
      <c r="D79" s="4">
        <f t="shared" ca="1" si="31"/>
        <v>0</v>
      </c>
      <c r="E79" s="4">
        <f t="shared" ca="1" si="49"/>
        <v>0</v>
      </c>
      <c r="F79" s="4">
        <f t="shared" ca="1" si="50"/>
        <v>0</v>
      </c>
      <c r="G79" s="4">
        <f t="shared" ca="1" si="32"/>
        <v>0</v>
      </c>
      <c r="H79" s="4">
        <f t="shared" si="51"/>
        <v>0</v>
      </c>
      <c r="I79" s="4">
        <f t="shared" si="52"/>
        <v>0</v>
      </c>
      <c r="J79" s="4">
        <f t="shared" si="35"/>
        <v>0</v>
      </c>
      <c r="K79" s="4">
        <f t="shared" ca="1" si="24"/>
        <v>0</v>
      </c>
      <c r="M79" s="6">
        <f t="shared" si="46"/>
        <v>0</v>
      </c>
      <c r="N79" s="6">
        <f t="shared" ca="1" si="36"/>
        <v>0</v>
      </c>
      <c r="O79" s="4">
        <f t="shared" ca="1" si="47"/>
        <v>0</v>
      </c>
      <c r="P79" s="6">
        <f t="shared" ca="1" si="37"/>
        <v>0</v>
      </c>
      <c r="Q79" s="4">
        <f t="shared" si="38"/>
        <v>0</v>
      </c>
      <c r="R79" s="7">
        <f t="shared" ca="1" si="39"/>
        <v>0</v>
      </c>
      <c r="S79" s="7" t="e">
        <f ca="1">SUM($R$16:R79)</f>
        <v>#DIV/0!</v>
      </c>
      <c r="T79" s="7"/>
      <c r="U79" s="7"/>
      <c r="V79" s="7">
        <f t="shared" si="40"/>
        <v>0</v>
      </c>
      <c r="W79" s="159">
        <f t="shared" ca="1" si="41"/>
        <v>0</v>
      </c>
      <c r="X79" s="160">
        <f t="shared" ca="1" si="18"/>
        <v>0</v>
      </c>
      <c r="Y79" s="4">
        <f t="shared" ca="1" si="19"/>
        <v>0</v>
      </c>
      <c r="Z79" s="4">
        <f t="shared" si="42"/>
        <v>0</v>
      </c>
      <c r="AA79" s="4">
        <f t="shared" si="43"/>
        <v>0</v>
      </c>
      <c r="AB79" s="160">
        <f t="shared" ca="1" si="20"/>
        <v>0</v>
      </c>
      <c r="AD79" s="8">
        <f t="shared" si="21"/>
        <v>0</v>
      </c>
    </row>
    <row r="80" spans="1:33" s="4" customFormat="1" ht="10.199999999999999">
      <c r="A80" s="4">
        <f t="shared" si="22"/>
        <v>64</v>
      </c>
      <c r="B80" s="9">
        <f t="shared" si="45"/>
        <v>0</v>
      </c>
      <c r="C80" s="4">
        <f t="shared" si="53"/>
        <v>0</v>
      </c>
      <c r="D80" s="4">
        <f t="shared" ca="1" si="31"/>
        <v>0</v>
      </c>
      <c r="E80" s="4">
        <f t="shared" ca="1" si="49"/>
        <v>0</v>
      </c>
      <c r="F80" s="4">
        <f t="shared" ca="1" si="50"/>
        <v>0</v>
      </c>
      <c r="G80" s="4">
        <f t="shared" ref="G80:G94" ca="1" si="54">IF(A80&lt;g_period,1,F80)*(B80&gt;0)</f>
        <v>0</v>
      </c>
      <c r="H80" s="4">
        <f t="shared" si="51"/>
        <v>0</v>
      </c>
      <c r="I80" s="4">
        <f t="shared" si="52"/>
        <v>0</v>
      </c>
      <c r="J80" s="4">
        <f t="shared" ref="J80:J94" si="55">IF(AND(B81=0,end=1),YEARFRAC(d_last,d_end,4),1)*(B80&gt;0)</f>
        <v>0</v>
      </c>
      <c r="K80" s="4">
        <f t="shared" ca="1" si="24"/>
        <v>0</v>
      </c>
      <c r="M80" s="6">
        <f t="shared" si="46"/>
        <v>0</v>
      </c>
      <c r="N80" s="6">
        <f t="shared" ref="N80:N94" ca="1" si="56">ROUND($E$6*I80*J80,2)</f>
        <v>0</v>
      </c>
      <c r="O80" s="4">
        <f t="shared" ca="1" si="47"/>
        <v>0</v>
      </c>
      <c r="P80" s="6">
        <f t="shared" ref="P80:P94" ca="1" si="57">(M80-N80)*($E$11-i)</f>
        <v>0</v>
      </c>
      <c r="Q80" s="4">
        <f t="shared" ref="Q80:Q94" si="58">(1+$E$11)^(-A80)*(B80&gt;0)</f>
        <v>0</v>
      </c>
      <c r="R80" s="7">
        <f t="shared" ref="R80:R94" ca="1" si="59">Q80*G80*P80</f>
        <v>0</v>
      </c>
      <c r="S80" s="7" t="e">
        <f ca="1">SUM($R$16:R80)</f>
        <v>#DIV/0!</v>
      </c>
      <c r="T80" s="7"/>
      <c r="U80" s="7"/>
      <c r="V80" s="7">
        <f t="shared" ref="V80:V94" si="60">C82</f>
        <v>0</v>
      </c>
      <c r="W80" s="159">
        <f t="shared" ref="W80:W94" ca="1" si="61">D82</f>
        <v>0</v>
      </c>
      <c r="X80" s="160">
        <f t="shared" ca="1" si="18"/>
        <v>0</v>
      </c>
      <c r="Y80" s="4">
        <f t="shared" ca="1" si="19"/>
        <v>0</v>
      </c>
      <c r="Z80" s="4">
        <f t="shared" ref="Z80:Z94" si="62">H80</f>
        <v>0</v>
      </c>
      <c r="AA80" s="4">
        <f t="shared" ref="AA80:AA94" si="63">I80</f>
        <v>0</v>
      </c>
      <c r="AB80" s="160">
        <f t="shared" ca="1" si="20"/>
        <v>0</v>
      </c>
      <c r="AD80" s="8">
        <f t="shared" si="21"/>
        <v>0</v>
      </c>
    </row>
    <row r="81" spans="1:30" s="4" customFormat="1" ht="10.199999999999999">
      <c r="A81" s="4">
        <f t="shared" si="22"/>
        <v>65</v>
      </c>
      <c r="B81" s="9">
        <f t="shared" ref="B81:B94" si="64">IF(d_last&lt;EDATE(d_begin,12*A81),0,IF(AND(DAY(d_begin)=29,MONTH(d_begin)=2),EOMONTH($B$16,12*A81),EDATE($B$16,12*A81)))</f>
        <v>0</v>
      </c>
      <c r="C81" s="4">
        <f t="shared" si="53"/>
        <v>0</v>
      </c>
      <c r="D81" s="4">
        <f t="shared" ca="1" si="31"/>
        <v>0</v>
      </c>
      <c r="E81" s="4">
        <f t="shared" ca="1" si="49"/>
        <v>0</v>
      </c>
      <c r="F81" s="4">
        <f t="shared" ca="1" si="50"/>
        <v>0</v>
      </c>
      <c r="G81" s="4">
        <f t="shared" ca="1" si="54"/>
        <v>0</v>
      </c>
      <c r="H81" s="4">
        <f t="shared" si="51"/>
        <v>0</v>
      </c>
      <c r="I81" s="4">
        <f t="shared" si="52"/>
        <v>0</v>
      </c>
      <c r="J81" s="4">
        <f t="shared" si="55"/>
        <v>0</v>
      </c>
      <c r="K81" s="4">
        <f t="shared" ref="K81:K94" ca="1" si="65">I81*H81*G81*J81</f>
        <v>0</v>
      </c>
      <c r="M81" s="6">
        <f t="shared" ref="M81:M94" si="66">IF(J81=0,0,(M80-N80)*(1+i)/O81)</f>
        <v>0</v>
      </c>
      <c r="N81" s="6">
        <f t="shared" ca="1" si="56"/>
        <v>0</v>
      </c>
      <c r="O81" s="4">
        <f t="shared" ref="O81:O94" ca="1" si="67">IF(G80=1,G81,IF(G81=1,1,E80))</f>
        <v>0</v>
      </c>
      <c r="P81" s="6">
        <f t="shared" ca="1" si="57"/>
        <v>0</v>
      </c>
      <c r="Q81" s="4">
        <f t="shared" si="58"/>
        <v>0</v>
      </c>
      <c r="R81" s="7">
        <f t="shared" ca="1" si="59"/>
        <v>0</v>
      </c>
      <c r="S81" s="7" t="e">
        <f ca="1">SUM($R$16:R81)</f>
        <v>#DIV/0!</v>
      </c>
      <c r="T81" s="7"/>
      <c r="U81" s="7"/>
      <c r="V81" s="7">
        <f t="shared" si="60"/>
        <v>0</v>
      </c>
      <c r="W81" s="159">
        <f t="shared" ca="1" si="61"/>
        <v>0</v>
      </c>
      <c r="X81" s="160">
        <f t="shared" ref="X81:X94" ca="1" si="68">(V81&gt;0)*(1-W81)</f>
        <v>0</v>
      </c>
      <c r="Y81" s="4">
        <f t="shared" ref="Y81:Y94" ca="1" si="69">(Y80*X80)*(V81&gt;0)</f>
        <v>0</v>
      </c>
      <c r="Z81" s="4">
        <f t="shared" si="62"/>
        <v>0</v>
      </c>
      <c r="AA81" s="4">
        <f t="shared" si="63"/>
        <v>0</v>
      </c>
      <c r="AB81" s="160">
        <f t="shared" ref="AB81:AB94" ca="1" si="70">Z81*Y81*AA81</f>
        <v>0</v>
      </c>
      <c r="AD81" s="8">
        <f>IF($AM$5=1,AF81*Z81/Y81,0)</f>
        <v>0</v>
      </c>
    </row>
    <row r="82" spans="1:30" s="4" customFormat="1" ht="10.199999999999999">
      <c r="A82" s="4">
        <f t="shared" ref="A82:A94" si="71">A81+1</f>
        <v>66</v>
      </c>
      <c r="B82" s="9">
        <f t="shared" si="64"/>
        <v>0</v>
      </c>
      <c r="C82" s="4">
        <f t="shared" si="53"/>
        <v>0</v>
      </c>
      <c r="D82" s="4">
        <f t="shared" ca="1" si="31"/>
        <v>0</v>
      </c>
      <c r="E82" s="4">
        <f t="shared" ca="1" si="49"/>
        <v>0</v>
      </c>
      <c r="F82" s="4">
        <f t="shared" ca="1" si="50"/>
        <v>0</v>
      </c>
      <c r="G82" s="4">
        <f t="shared" ca="1" si="54"/>
        <v>0</v>
      </c>
      <c r="H82" s="4">
        <f t="shared" si="51"/>
        <v>0</v>
      </c>
      <c r="I82" s="4">
        <f t="shared" si="52"/>
        <v>0</v>
      </c>
      <c r="J82" s="4">
        <f t="shared" si="55"/>
        <v>0</v>
      </c>
      <c r="K82" s="4">
        <f t="shared" ca="1" si="65"/>
        <v>0</v>
      </c>
      <c r="M82" s="6">
        <f t="shared" si="66"/>
        <v>0</v>
      </c>
      <c r="N82" s="6">
        <f t="shared" ca="1" si="56"/>
        <v>0</v>
      </c>
      <c r="O82" s="4">
        <f t="shared" ca="1" si="67"/>
        <v>0</v>
      </c>
      <c r="P82" s="6">
        <f t="shared" ca="1" si="57"/>
        <v>0</v>
      </c>
      <c r="Q82" s="4">
        <f t="shared" si="58"/>
        <v>0</v>
      </c>
      <c r="R82" s="7">
        <f t="shared" ca="1" si="59"/>
        <v>0</v>
      </c>
      <c r="S82" s="7" t="e">
        <f ca="1">SUM($R$16:R82)</f>
        <v>#DIV/0!</v>
      </c>
      <c r="T82" s="7"/>
      <c r="U82" s="7"/>
      <c r="V82" s="7">
        <f t="shared" si="60"/>
        <v>0</v>
      </c>
      <c r="W82" s="159">
        <f t="shared" ca="1" si="61"/>
        <v>0</v>
      </c>
      <c r="X82" s="160">
        <f t="shared" ca="1" si="68"/>
        <v>0</v>
      </c>
      <c r="Y82" s="4">
        <f t="shared" ca="1" si="69"/>
        <v>0</v>
      </c>
      <c r="Z82" s="4">
        <f t="shared" si="62"/>
        <v>0</v>
      </c>
      <c r="AA82" s="4">
        <f t="shared" si="63"/>
        <v>0</v>
      </c>
      <c r="AB82" s="160">
        <f t="shared" ca="1" si="70"/>
        <v>0</v>
      </c>
      <c r="AD82" s="8">
        <f>IF($AM$5=1,AF82*Z82/Y82,0)</f>
        <v>0</v>
      </c>
    </row>
    <row r="83" spans="1:30" s="4" customFormat="1" ht="10.199999999999999">
      <c r="A83" s="4">
        <f t="shared" si="71"/>
        <v>67</v>
      </c>
      <c r="B83" s="9">
        <f t="shared" si="64"/>
        <v>0</v>
      </c>
      <c r="C83" s="4">
        <f t="shared" si="53"/>
        <v>0</v>
      </c>
      <c r="D83" s="4">
        <f t="shared" ca="1" si="31"/>
        <v>0</v>
      </c>
      <c r="E83" s="4">
        <f t="shared" ca="1" si="49"/>
        <v>0</v>
      </c>
      <c r="F83" s="4">
        <f t="shared" ca="1" si="50"/>
        <v>0</v>
      </c>
      <c r="G83" s="4">
        <f t="shared" ca="1" si="54"/>
        <v>0</v>
      </c>
      <c r="H83" s="4">
        <f t="shared" si="51"/>
        <v>0</v>
      </c>
      <c r="I83" s="4">
        <f t="shared" si="52"/>
        <v>0</v>
      </c>
      <c r="J83" s="4">
        <f t="shared" si="55"/>
        <v>0</v>
      </c>
      <c r="K83" s="4">
        <f t="shared" ca="1" si="65"/>
        <v>0</v>
      </c>
      <c r="M83" s="6">
        <f t="shared" si="66"/>
        <v>0</v>
      </c>
      <c r="N83" s="6">
        <f t="shared" ca="1" si="56"/>
        <v>0</v>
      </c>
      <c r="O83" s="4">
        <f t="shared" ca="1" si="67"/>
        <v>0</v>
      </c>
      <c r="P83" s="6">
        <f t="shared" ca="1" si="57"/>
        <v>0</v>
      </c>
      <c r="Q83" s="4">
        <f t="shared" si="58"/>
        <v>0</v>
      </c>
      <c r="R83" s="7">
        <f t="shared" ca="1" si="59"/>
        <v>0</v>
      </c>
      <c r="S83" s="7" t="e">
        <f ca="1">SUM($R$16:R83)</f>
        <v>#DIV/0!</v>
      </c>
      <c r="T83" s="7"/>
      <c r="U83" s="7"/>
      <c r="V83" s="7">
        <f t="shared" si="60"/>
        <v>0</v>
      </c>
      <c r="W83" s="159">
        <f t="shared" ca="1" si="61"/>
        <v>0</v>
      </c>
      <c r="X83" s="160">
        <f t="shared" ca="1" si="68"/>
        <v>0</v>
      </c>
      <c r="Y83" s="4">
        <f t="shared" ca="1" si="69"/>
        <v>0</v>
      </c>
      <c r="Z83" s="4">
        <f t="shared" si="62"/>
        <v>0</v>
      </c>
      <c r="AA83" s="4">
        <f t="shared" si="63"/>
        <v>0</v>
      </c>
      <c r="AB83" s="160">
        <f t="shared" ca="1" si="70"/>
        <v>0</v>
      </c>
      <c r="AD83" s="8">
        <f>IF($AM$5=1,AF83*Z83/Y83,0)</f>
        <v>0</v>
      </c>
    </row>
    <row r="84" spans="1:30" s="4" customFormat="1" ht="10.199999999999999">
      <c r="A84" s="4">
        <f t="shared" si="71"/>
        <v>68</v>
      </c>
      <c r="B84" s="9">
        <f t="shared" si="64"/>
        <v>0</v>
      </c>
      <c r="C84" s="4">
        <f t="shared" si="53"/>
        <v>0</v>
      </c>
      <c r="D84" s="4">
        <f t="shared" ca="1" si="31"/>
        <v>0</v>
      </c>
      <c r="E84" s="4">
        <f t="shared" ca="1" si="49"/>
        <v>0</v>
      </c>
      <c r="F84" s="4">
        <f t="shared" ca="1" si="50"/>
        <v>0</v>
      </c>
      <c r="G84" s="4">
        <f t="shared" ca="1" si="54"/>
        <v>0</v>
      </c>
      <c r="H84" s="4">
        <f t="shared" si="51"/>
        <v>0</v>
      </c>
      <c r="I84" s="4">
        <f t="shared" si="52"/>
        <v>0</v>
      </c>
      <c r="J84" s="4">
        <f t="shared" si="55"/>
        <v>0</v>
      </c>
      <c r="K84" s="4">
        <f t="shared" ca="1" si="65"/>
        <v>0</v>
      </c>
      <c r="M84" s="6">
        <f t="shared" si="66"/>
        <v>0</v>
      </c>
      <c r="N84" s="6">
        <f t="shared" ca="1" si="56"/>
        <v>0</v>
      </c>
      <c r="O84" s="4">
        <f t="shared" ca="1" si="67"/>
        <v>0</v>
      </c>
      <c r="P84" s="6">
        <f t="shared" ca="1" si="57"/>
        <v>0</v>
      </c>
      <c r="Q84" s="4">
        <f t="shared" si="58"/>
        <v>0</v>
      </c>
      <c r="R84" s="7">
        <f t="shared" ca="1" si="59"/>
        <v>0</v>
      </c>
      <c r="S84" s="7" t="e">
        <f ca="1">SUM($R$16:R84)</f>
        <v>#DIV/0!</v>
      </c>
      <c r="T84" s="7"/>
      <c r="U84" s="7"/>
      <c r="V84" s="7">
        <f t="shared" si="60"/>
        <v>0</v>
      </c>
      <c r="W84" s="159">
        <f t="shared" ca="1" si="61"/>
        <v>0</v>
      </c>
      <c r="X84" s="160">
        <f t="shared" ca="1" si="68"/>
        <v>0</v>
      </c>
      <c r="Y84" s="4">
        <f t="shared" ca="1" si="69"/>
        <v>0</v>
      </c>
      <c r="Z84" s="4">
        <f t="shared" si="62"/>
        <v>0</v>
      </c>
      <c r="AA84" s="4">
        <f t="shared" si="63"/>
        <v>0</v>
      </c>
      <c r="AB84" s="160">
        <f t="shared" ca="1" si="70"/>
        <v>0</v>
      </c>
    </row>
    <row r="85" spans="1:30" s="4" customFormat="1" ht="10.199999999999999">
      <c r="A85" s="4">
        <f t="shared" si="71"/>
        <v>69</v>
      </c>
      <c r="B85" s="9">
        <f t="shared" si="64"/>
        <v>0</v>
      </c>
      <c r="C85" s="4">
        <f t="shared" si="53"/>
        <v>0</v>
      </c>
      <c r="D85" s="4">
        <f t="shared" ca="1" si="31"/>
        <v>0</v>
      </c>
      <c r="E85" s="4">
        <f t="shared" ca="1" si="49"/>
        <v>0</v>
      </c>
      <c r="F85" s="4">
        <f t="shared" ca="1" si="50"/>
        <v>0</v>
      </c>
      <c r="G85" s="4">
        <f t="shared" ca="1" si="54"/>
        <v>0</v>
      </c>
      <c r="H85" s="4">
        <f t="shared" si="51"/>
        <v>0</v>
      </c>
      <c r="I85" s="4">
        <f t="shared" si="52"/>
        <v>0</v>
      </c>
      <c r="J85" s="4">
        <f t="shared" si="55"/>
        <v>0</v>
      </c>
      <c r="K85" s="4">
        <f t="shared" ca="1" si="65"/>
        <v>0</v>
      </c>
      <c r="M85" s="6">
        <f t="shared" si="66"/>
        <v>0</v>
      </c>
      <c r="N85" s="6">
        <f t="shared" ca="1" si="56"/>
        <v>0</v>
      </c>
      <c r="O85" s="4">
        <f t="shared" ca="1" si="67"/>
        <v>0</v>
      </c>
      <c r="P85" s="6">
        <f t="shared" ca="1" si="57"/>
        <v>0</v>
      </c>
      <c r="Q85" s="4">
        <f t="shared" si="58"/>
        <v>0</v>
      </c>
      <c r="R85" s="7">
        <f t="shared" ca="1" si="59"/>
        <v>0</v>
      </c>
      <c r="S85" s="7" t="e">
        <f ca="1">SUM($R$16:R85)</f>
        <v>#DIV/0!</v>
      </c>
      <c r="T85" s="7"/>
      <c r="U85" s="7"/>
      <c r="V85" s="7">
        <f t="shared" si="60"/>
        <v>0</v>
      </c>
      <c r="W85" s="159">
        <f t="shared" ca="1" si="61"/>
        <v>0</v>
      </c>
      <c r="X85" s="160">
        <f t="shared" ca="1" si="68"/>
        <v>0</v>
      </c>
      <c r="Y85" s="4">
        <f t="shared" ca="1" si="69"/>
        <v>0</v>
      </c>
      <c r="Z85" s="4">
        <f t="shared" si="62"/>
        <v>0</v>
      </c>
      <c r="AA85" s="4">
        <f t="shared" si="63"/>
        <v>0</v>
      </c>
      <c r="AB85" s="160">
        <f t="shared" ca="1" si="70"/>
        <v>0</v>
      </c>
    </row>
    <row r="86" spans="1:30" s="4" customFormat="1" ht="10.199999999999999">
      <c r="A86" s="4">
        <f t="shared" si="71"/>
        <v>70</v>
      </c>
      <c r="B86" s="9">
        <f t="shared" si="64"/>
        <v>0</v>
      </c>
      <c r="C86" s="4">
        <f t="shared" si="53"/>
        <v>0</v>
      </c>
      <c r="D86" s="4">
        <f t="shared" ca="1" si="31"/>
        <v>0</v>
      </c>
      <c r="E86" s="4">
        <f t="shared" ca="1" si="49"/>
        <v>0</v>
      </c>
      <c r="F86" s="4">
        <f t="shared" ca="1" si="50"/>
        <v>0</v>
      </c>
      <c r="G86" s="4">
        <f t="shared" ca="1" si="54"/>
        <v>0</v>
      </c>
      <c r="H86" s="4">
        <f t="shared" si="51"/>
        <v>0</v>
      </c>
      <c r="I86" s="4">
        <f t="shared" si="52"/>
        <v>0</v>
      </c>
      <c r="J86" s="4">
        <f t="shared" si="55"/>
        <v>0</v>
      </c>
      <c r="K86" s="4">
        <f t="shared" ca="1" si="65"/>
        <v>0</v>
      </c>
      <c r="M86" s="6">
        <f t="shared" si="66"/>
        <v>0</v>
      </c>
      <c r="N86" s="6">
        <f t="shared" ca="1" si="56"/>
        <v>0</v>
      </c>
      <c r="O86" s="4">
        <f t="shared" ca="1" si="67"/>
        <v>0</v>
      </c>
      <c r="P86" s="6">
        <f t="shared" ca="1" si="57"/>
        <v>0</v>
      </c>
      <c r="Q86" s="4">
        <f t="shared" si="58"/>
        <v>0</v>
      </c>
      <c r="R86" s="7">
        <f t="shared" ca="1" si="59"/>
        <v>0</v>
      </c>
      <c r="S86" s="7" t="e">
        <f ca="1">SUM($R$16:R86)</f>
        <v>#DIV/0!</v>
      </c>
      <c r="T86" s="7"/>
      <c r="U86" s="7"/>
      <c r="V86" s="7">
        <f t="shared" si="60"/>
        <v>0</v>
      </c>
      <c r="W86" s="159">
        <f t="shared" ca="1" si="61"/>
        <v>0</v>
      </c>
      <c r="X86" s="160">
        <f t="shared" ca="1" si="68"/>
        <v>0</v>
      </c>
      <c r="Y86" s="4">
        <f t="shared" ca="1" si="69"/>
        <v>0</v>
      </c>
      <c r="Z86" s="4">
        <f t="shared" si="62"/>
        <v>0</v>
      </c>
      <c r="AA86" s="4">
        <f t="shared" si="63"/>
        <v>0</v>
      </c>
      <c r="AB86" s="160">
        <f t="shared" ca="1" si="70"/>
        <v>0</v>
      </c>
    </row>
    <row r="87" spans="1:30" s="4" customFormat="1" ht="10.199999999999999">
      <c r="A87" s="4">
        <f t="shared" si="71"/>
        <v>71</v>
      </c>
      <c r="B87" s="9">
        <f t="shared" si="64"/>
        <v>0</v>
      </c>
      <c r="C87" s="4">
        <f t="shared" si="53"/>
        <v>0</v>
      </c>
      <c r="D87" s="4">
        <f t="shared" ca="1" si="31"/>
        <v>0</v>
      </c>
      <c r="E87" s="4">
        <f t="shared" ca="1" si="49"/>
        <v>0</v>
      </c>
      <c r="F87" s="4">
        <f t="shared" ca="1" si="50"/>
        <v>0</v>
      </c>
      <c r="G87" s="4">
        <f t="shared" ca="1" si="54"/>
        <v>0</v>
      </c>
      <c r="H87" s="4">
        <f t="shared" si="51"/>
        <v>0</v>
      </c>
      <c r="I87" s="4">
        <f t="shared" si="52"/>
        <v>0</v>
      </c>
      <c r="J87" s="4">
        <f t="shared" si="55"/>
        <v>0</v>
      </c>
      <c r="K87" s="4">
        <f t="shared" ca="1" si="65"/>
        <v>0</v>
      </c>
      <c r="M87" s="6">
        <f t="shared" si="66"/>
        <v>0</v>
      </c>
      <c r="N87" s="6">
        <f t="shared" ca="1" si="56"/>
        <v>0</v>
      </c>
      <c r="O87" s="4">
        <f t="shared" ca="1" si="67"/>
        <v>0</v>
      </c>
      <c r="P87" s="6">
        <f t="shared" ca="1" si="57"/>
        <v>0</v>
      </c>
      <c r="Q87" s="4">
        <f t="shared" si="58"/>
        <v>0</v>
      </c>
      <c r="R87" s="7">
        <f t="shared" ca="1" si="59"/>
        <v>0</v>
      </c>
      <c r="S87" s="7" t="e">
        <f ca="1">SUM($R$16:R87)</f>
        <v>#DIV/0!</v>
      </c>
      <c r="T87" s="7"/>
      <c r="U87" s="7"/>
      <c r="V87" s="7">
        <f t="shared" si="60"/>
        <v>0</v>
      </c>
      <c r="W87" s="159">
        <f t="shared" ca="1" si="61"/>
        <v>0</v>
      </c>
      <c r="X87" s="160">
        <f t="shared" ca="1" si="68"/>
        <v>0</v>
      </c>
      <c r="Y87" s="4">
        <f t="shared" ca="1" si="69"/>
        <v>0</v>
      </c>
      <c r="Z87" s="4">
        <f t="shared" si="62"/>
        <v>0</v>
      </c>
      <c r="AA87" s="4">
        <f t="shared" si="63"/>
        <v>0</v>
      </c>
      <c r="AB87" s="160">
        <f t="shared" ca="1" si="70"/>
        <v>0</v>
      </c>
    </row>
    <row r="88" spans="1:30" s="4" customFormat="1" ht="10.199999999999999">
      <c r="A88" s="4">
        <f t="shared" si="71"/>
        <v>72</v>
      </c>
      <c r="B88" s="9">
        <f t="shared" si="64"/>
        <v>0</v>
      </c>
      <c r="C88" s="4">
        <f t="shared" si="53"/>
        <v>0</v>
      </c>
      <c r="D88" s="4">
        <f t="shared" ca="1" si="31"/>
        <v>0</v>
      </c>
      <c r="E88" s="4">
        <f t="shared" ca="1" si="49"/>
        <v>0</v>
      </c>
      <c r="F88" s="4">
        <f t="shared" ca="1" si="50"/>
        <v>0</v>
      </c>
      <c r="G88" s="4">
        <f t="shared" ca="1" si="54"/>
        <v>0</v>
      </c>
      <c r="H88" s="4">
        <f t="shared" si="51"/>
        <v>0</v>
      </c>
      <c r="I88" s="4">
        <f t="shared" si="52"/>
        <v>0</v>
      </c>
      <c r="J88" s="4">
        <f t="shared" si="55"/>
        <v>0</v>
      </c>
      <c r="K88" s="4">
        <f t="shared" ca="1" si="65"/>
        <v>0</v>
      </c>
      <c r="M88" s="6">
        <f t="shared" si="66"/>
        <v>0</v>
      </c>
      <c r="N88" s="6">
        <f t="shared" ca="1" si="56"/>
        <v>0</v>
      </c>
      <c r="O88" s="4">
        <f t="shared" ca="1" si="67"/>
        <v>0</v>
      </c>
      <c r="P88" s="6">
        <f t="shared" ca="1" si="57"/>
        <v>0</v>
      </c>
      <c r="Q88" s="4">
        <f t="shared" si="58"/>
        <v>0</v>
      </c>
      <c r="R88" s="7">
        <f t="shared" ca="1" si="59"/>
        <v>0</v>
      </c>
      <c r="S88" s="7" t="e">
        <f ca="1">SUM($R$16:R88)</f>
        <v>#DIV/0!</v>
      </c>
      <c r="T88" s="7"/>
      <c r="U88" s="7"/>
      <c r="V88" s="7">
        <f t="shared" si="60"/>
        <v>0</v>
      </c>
      <c r="W88" s="159">
        <f t="shared" ca="1" si="61"/>
        <v>0</v>
      </c>
      <c r="X88" s="160">
        <f t="shared" ca="1" si="68"/>
        <v>0</v>
      </c>
      <c r="Y88" s="4">
        <f t="shared" ca="1" si="69"/>
        <v>0</v>
      </c>
      <c r="Z88" s="4">
        <f t="shared" si="62"/>
        <v>0</v>
      </c>
      <c r="AA88" s="4">
        <f t="shared" si="63"/>
        <v>0</v>
      </c>
      <c r="AB88" s="160">
        <f t="shared" ca="1" si="70"/>
        <v>0</v>
      </c>
    </row>
    <row r="89" spans="1:30" s="4" customFormat="1" ht="10.199999999999999">
      <c r="A89" s="4">
        <f t="shared" si="71"/>
        <v>73</v>
      </c>
      <c r="B89" s="9">
        <f t="shared" si="64"/>
        <v>0</v>
      </c>
      <c r="C89" s="4">
        <f t="shared" si="53"/>
        <v>0</v>
      </c>
      <c r="D89" s="4">
        <f t="shared" ca="1" si="31"/>
        <v>0</v>
      </c>
      <c r="E89" s="4">
        <f t="shared" ca="1" si="49"/>
        <v>0</v>
      </c>
      <c r="F89" s="4">
        <f t="shared" ca="1" si="50"/>
        <v>0</v>
      </c>
      <c r="G89" s="4">
        <f t="shared" ca="1" si="54"/>
        <v>0</v>
      </c>
      <c r="H89" s="4">
        <f t="shared" si="51"/>
        <v>0</v>
      </c>
      <c r="I89" s="4">
        <f t="shared" si="52"/>
        <v>0</v>
      </c>
      <c r="J89" s="4">
        <f t="shared" si="55"/>
        <v>0</v>
      </c>
      <c r="K89" s="4">
        <f t="shared" ca="1" si="65"/>
        <v>0</v>
      </c>
      <c r="M89" s="6">
        <f t="shared" si="66"/>
        <v>0</v>
      </c>
      <c r="N89" s="6">
        <f t="shared" ca="1" si="56"/>
        <v>0</v>
      </c>
      <c r="O89" s="4">
        <f t="shared" ca="1" si="67"/>
        <v>0</v>
      </c>
      <c r="P89" s="6">
        <f t="shared" ca="1" si="57"/>
        <v>0</v>
      </c>
      <c r="Q89" s="4">
        <f t="shared" si="58"/>
        <v>0</v>
      </c>
      <c r="R89" s="7">
        <f t="shared" ca="1" si="59"/>
        <v>0</v>
      </c>
      <c r="S89" s="7" t="e">
        <f ca="1">SUM($R$16:R89)</f>
        <v>#DIV/0!</v>
      </c>
      <c r="T89" s="7"/>
      <c r="U89" s="7"/>
      <c r="V89" s="7">
        <f t="shared" si="60"/>
        <v>0</v>
      </c>
      <c r="W89" s="159">
        <f t="shared" ca="1" si="61"/>
        <v>0</v>
      </c>
      <c r="X89" s="160">
        <f t="shared" ca="1" si="68"/>
        <v>0</v>
      </c>
      <c r="Y89" s="4">
        <f t="shared" ca="1" si="69"/>
        <v>0</v>
      </c>
      <c r="Z89" s="4">
        <f t="shared" si="62"/>
        <v>0</v>
      </c>
      <c r="AA89" s="4">
        <f t="shared" si="63"/>
        <v>0</v>
      </c>
      <c r="AB89" s="160">
        <f t="shared" ca="1" si="70"/>
        <v>0</v>
      </c>
    </row>
    <row r="90" spans="1:30" s="4" customFormat="1" ht="10.199999999999999">
      <c r="A90" s="4">
        <f t="shared" si="71"/>
        <v>74</v>
      </c>
      <c r="B90" s="9">
        <f t="shared" si="64"/>
        <v>0</v>
      </c>
      <c r="C90" s="4">
        <f t="shared" si="53"/>
        <v>0</v>
      </c>
      <c r="D90" s="4">
        <f t="shared" ca="1" si="31"/>
        <v>0</v>
      </c>
      <c r="E90" s="4">
        <f t="shared" ca="1" si="49"/>
        <v>0</v>
      </c>
      <c r="F90" s="4">
        <f t="shared" ca="1" si="50"/>
        <v>0</v>
      </c>
      <c r="G90" s="4">
        <f t="shared" ca="1" si="54"/>
        <v>0</v>
      </c>
      <c r="H90" s="4">
        <f t="shared" si="51"/>
        <v>0</v>
      </c>
      <c r="I90" s="4">
        <f t="shared" si="52"/>
        <v>0</v>
      </c>
      <c r="J90" s="4">
        <f t="shared" si="55"/>
        <v>0</v>
      </c>
      <c r="K90" s="4">
        <f t="shared" ca="1" si="65"/>
        <v>0</v>
      </c>
      <c r="M90" s="6">
        <f t="shared" si="66"/>
        <v>0</v>
      </c>
      <c r="N90" s="6">
        <f t="shared" ca="1" si="56"/>
        <v>0</v>
      </c>
      <c r="O90" s="4">
        <f t="shared" ca="1" si="67"/>
        <v>0</v>
      </c>
      <c r="P90" s="6">
        <f t="shared" ca="1" si="57"/>
        <v>0</v>
      </c>
      <c r="Q90" s="4">
        <f t="shared" si="58"/>
        <v>0</v>
      </c>
      <c r="R90" s="7">
        <f t="shared" ca="1" si="59"/>
        <v>0</v>
      </c>
      <c r="S90" s="7" t="e">
        <f ca="1">SUM($R$16:R90)</f>
        <v>#DIV/0!</v>
      </c>
      <c r="T90" s="7"/>
      <c r="U90" s="7"/>
      <c r="V90" s="7">
        <f t="shared" si="60"/>
        <v>0</v>
      </c>
      <c r="W90" s="159">
        <f t="shared" ca="1" si="61"/>
        <v>0</v>
      </c>
      <c r="X90" s="160">
        <f t="shared" ca="1" si="68"/>
        <v>0</v>
      </c>
      <c r="Y90" s="4">
        <f t="shared" ca="1" si="69"/>
        <v>0</v>
      </c>
      <c r="Z90" s="4">
        <f t="shared" si="62"/>
        <v>0</v>
      </c>
      <c r="AA90" s="4">
        <f t="shared" si="63"/>
        <v>0</v>
      </c>
      <c r="AB90" s="160">
        <f t="shared" ca="1" si="70"/>
        <v>0</v>
      </c>
    </row>
    <row r="91" spans="1:30" s="4" customFormat="1" ht="10.199999999999999">
      <c r="A91" s="4">
        <f t="shared" si="71"/>
        <v>75</v>
      </c>
      <c r="B91" s="9">
        <f t="shared" si="64"/>
        <v>0</v>
      </c>
      <c r="C91" s="4">
        <f t="shared" si="53"/>
        <v>0</v>
      </c>
      <c r="D91" s="4">
        <f t="shared" ca="1" si="31"/>
        <v>0</v>
      </c>
      <c r="E91" s="4">
        <f t="shared" ca="1" si="49"/>
        <v>0</v>
      </c>
      <c r="F91" s="4">
        <f t="shared" ca="1" si="50"/>
        <v>0</v>
      </c>
      <c r="G91" s="4">
        <f t="shared" ca="1" si="54"/>
        <v>0</v>
      </c>
      <c r="H91" s="4">
        <f t="shared" si="51"/>
        <v>0</v>
      </c>
      <c r="I91" s="4">
        <f t="shared" si="52"/>
        <v>0</v>
      </c>
      <c r="J91" s="4">
        <f t="shared" si="55"/>
        <v>0</v>
      </c>
      <c r="K91" s="4">
        <f t="shared" ca="1" si="65"/>
        <v>0</v>
      </c>
      <c r="M91" s="6">
        <f t="shared" si="66"/>
        <v>0</v>
      </c>
      <c r="N91" s="6">
        <f t="shared" ca="1" si="56"/>
        <v>0</v>
      </c>
      <c r="O91" s="4">
        <f t="shared" ca="1" si="67"/>
        <v>0</v>
      </c>
      <c r="P91" s="6">
        <f t="shared" ca="1" si="57"/>
        <v>0</v>
      </c>
      <c r="Q91" s="4">
        <f t="shared" si="58"/>
        <v>0</v>
      </c>
      <c r="R91" s="7">
        <f t="shared" ca="1" si="59"/>
        <v>0</v>
      </c>
      <c r="S91" s="7" t="e">
        <f ca="1">SUM($R$16:R91)</f>
        <v>#DIV/0!</v>
      </c>
      <c r="T91" s="7"/>
      <c r="U91" s="7"/>
      <c r="V91" s="7">
        <f t="shared" si="60"/>
        <v>0</v>
      </c>
      <c r="W91" s="159">
        <f t="shared" ca="1" si="61"/>
        <v>0</v>
      </c>
      <c r="X91" s="160">
        <f t="shared" ca="1" si="68"/>
        <v>0</v>
      </c>
      <c r="Y91" s="4">
        <f t="shared" ca="1" si="69"/>
        <v>0</v>
      </c>
      <c r="Z91" s="4">
        <f t="shared" si="62"/>
        <v>0</v>
      </c>
      <c r="AA91" s="4">
        <f t="shared" si="63"/>
        <v>0</v>
      </c>
      <c r="AB91" s="160">
        <f t="shared" ca="1" si="70"/>
        <v>0</v>
      </c>
    </row>
    <row r="92" spans="1:30" s="4" customFormat="1" ht="10.199999999999999">
      <c r="A92" s="4">
        <f t="shared" si="71"/>
        <v>76</v>
      </c>
      <c r="B92" s="9">
        <f t="shared" si="64"/>
        <v>0</v>
      </c>
      <c r="C92" s="4">
        <f t="shared" si="53"/>
        <v>0</v>
      </c>
      <c r="D92" s="4">
        <f t="shared" ca="1" si="31"/>
        <v>0</v>
      </c>
      <c r="E92" s="4">
        <f t="shared" ca="1" si="49"/>
        <v>0</v>
      </c>
      <c r="F92" s="4">
        <f t="shared" ca="1" si="50"/>
        <v>0</v>
      </c>
      <c r="G92" s="4">
        <f t="shared" ca="1" si="54"/>
        <v>0</v>
      </c>
      <c r="H92" s="4">
        <f t="shared" si="51"/>
        <v>0</v>
      </c>
      <c r="I92" s="4">
        <f t="shared" si="52"/>
        <v>0</v>
      </c>
      <c r="J92" s="4">
        <f t="shared" si="55"/>
        <v>0</v>
      </c>
      <c r="K92" s="4">
        <f t="shared" ca="1" si="65"/>
        <v>0</v>
      </c>
      <c r="M92" s="6">
        <f t="shared" si="66"/>
        <v>0</v>
      </c>
      <c r="N92" s="6">
        <f t="shared" ca="1" si="56"/>
        <v>0</v>
      </c>
      <c r="O92" s="4">
        <f t="shared" ca="1" si="67"/>
        <v>0</v>
      </c>
      <c r="P92" s="6">
        <f t="shared" ca="1" si="57"/>
        <v>0</v>
      </c>
      <c r="Q92" s="4">
        <f t="shared" si="58"/>
        <v>0</v>
      </c>
      <c r="R92" s="7">
        <f t="shared" ca="1" si="59"/>
        <v>0</v>
      </c>
      <c r="S92" s="7" t="e">
        <f ca="1">SUM($R$16:R92)</f>
        <v>#DIV/0!</v>
      </c>
      <c r="T92" s="7"/>
      <c r="U92" s="7"/>
      <c r="V92" s="7">
        <f t="shared" si="60"/>
        <v>0</v>
      </c>
      <c r="W92" s="159">
        <f t="shared" ca="1" si="61"/>
        <v>0</v>
      </c>
      <c r="X92" s="160">
        <f t="shared" ca="1" si="68"/>
        <v>0</v>
      </c>
      <c r="Y92" s="4">
        <f t="shared" ca="1" si="69"/>
        <v>0</v>
      </c>
      <c r="Z92" s="4">
        <f t="shared" si="62"/>
        <v>0</v>
      </c>
      <c r="AA92" s="4">
        <f t="shared" si="63"/>
        <v>0</v>
      </c>
      <c r="AB92" s="160">
        <f t="shared" ca="1" si="70"/>
        <v>0</v>
      </c>
    </row>
    <row r="93" spans="1:30" s="4" customFormat="1" ht="10.199999999999999">
      <c r="A93" s="4">
        <f t="shared" si="71"/>
        <v>77</v>
      </c>
      <c r="B93" s="9">
        <f t="shared" si="64"/>
        <v>0</v>
      </c>
      <c r="C93" s="4">
        <f t="shared" si="53"/>
        <v>0</v>
      </c>
      <c r="D93" s="4">
        <f t="shared" ca="1" si="31"/>
        <v>0</v>
      </c>
      <c r="E93" s="4">
        <f t="shared" ca="1" si="49"/>
        <v>0</v>
      </c>
      <c r="F93" s="4">
        <f t="shared" ca="1" si="50"/>
        <v>0</v>
      </c>
      <c r="G93" s="4">
        <f t="shared" ca="1" si="54"/>
        <v>0</v>
      </c>
      <c r="H93" s="4">
        <f t="shared" si="51"/>
        <v>0</v>
      </c>
      <c r="I93" s="4">
        <f t="shared" si="52"/>
        <v>0</v>
      </c>
      <c r="J93" s="4">
        <f t="shared" si="55"/>
        <v>0</v>
      </c>
      <c r="K93" s="4">
        <f t="shared" ca="1" si="65"/>
        <v>0</v>
      </c>
      <c r="M93" s="6">
        <f t="shared" si="66"/>
        <v>0</v>
      </c>
      <c r="N93" s="6">
        <f t="shared" ca="1" si="56"/>
        <v>0</v>
      </c>
      <c r="O93" s="4">
        <f t="shared" ca="1" si="67"/>
        <v>0</v>
      </c>
      <c r="P93" s="6">
        <f t="shared" ca="1" si="57"/>
        <v>0</v>
      </c>
      <c r="Q93" s="4">
        <f t="shared" si="58"/>
        <v>0</v>
      </c>
      <c r="R93" s="7">
        <f t="shared" ca="1" si="59"/>
        <v>0</v>
      </c>
      <c r="S93" s="7" t="e">
        <f ca="1">SUM($R$16:R93)</f>
        <v>#DIV/0!</v>
      </c>
      <c r="T93" s="7"/>
      <c r="U93" s="7"/>
      <c r="V93" s="7">
        <f t="shared" si="60"/>
        <v>0</v>
      </c>
      <c r="W93" s="159">
        <f t="shared" si="61"/>
        <v>0</v>
      </c>
      <c r="X93" s="160">
        <f t="shared" si="68"/>
        <v>0</v>
      </c>
      <c r="Y93" s="4">
        <f t="shared" ca="1" si="69"/>
        <v>0</v>
      </c>
      <c r="Z93" s="4">
        <f t="shared" si="62"/>
        <v>0</v>
      </c>
      <c r="AA93" s="4">
        <f t="shared" si="63"/>
        <v>0</v>
      </c>
      <c r="AB93" s="160">
        <f t="shared" ca="1" si="70"/>
        <v>0</v>
      </c>
    </row>
    <row r="94" spans="1:30" s="4" customFormat="1" ht="10.199999999999999">
      <c r="A94" s="4">
        <f t="shared" si="71"/>
        <v>78</v>
      </c>
      <c r="B94" s="9">
        <f t="shared" si="64"/>
        <v>0</v>
      </c>
      <c r="C94" s="4">
        <f t="shared" si="53"/>
        <v>0</v>
      </c>
      <c r="D94" s="4">
        <f t="shared" ca="1" si="31"/>
        <v>0</v>
      </c>
      <c r="E94" s="4">
        <f t="shared" ca="1" si="49"/>
        <v>0</v>
      </c>
      <c r="F94" s="4">
        <f t="shared" ca="1" si="50"/>
        <v>0</v>
      </c>
      <c r="G94" s="4">
        <f t="shared" ca="1" si="54"/>
        <v>0</v>
      </c>
      <c r="H94" s="4">
        <f t="shared" si="51"/>
        <v>0</v>
      </c>
      <c r="I94" s="4">
        <f t="shared" si="52"/>
        <v>0</v>
      </c>
      <c r="J94" s="4">
        <f t="shared" si="55"/>
        <v>0</v>
      </c>
      <c r="K94" s="4">
        <f t="shared" ca="1" si="65"/>
        <v>0</v>
      </c>
      <c r="M94" s="6">
        <f t="shared" si="66"/>
        <v>0</v>
      </c>
      <c r="N94" s="6">
        <f t="shared" ca="1" si="56"/>
        <v>0</v>
      </c>
      <c r="O94" s="4">
        <f t="shared" ca="1" si="67"/>
        <v>0</v>
      </c>
      <c r="P94" s="6">
        <f t="shared" ca="1" si="57"/>
        <v>0</v>
      </c>
      <c r="Q94" s="4">
        <f t="shared" si="58"/>
        <v>0</v>
      </c>
      <c r="R94" s="7">
        <f t="shared" ca="1" si="59"/>
        <v>0</v>
      </c>
      <c r="S94" s="7" t="e">
        <f ca="1">SUM($R$16:R94)</f>
        <v>#DIV/0!</v>
      </c>
      <c r="T94" s="7"/>
      <c r="U94" s="7"/>
      <c r="V94" s="7">
        <f t="shared" si="60"/>
        <v>0</v>
      </c>
      <c r="W94" s="159">
        <f t="shared" si="61"/>
        <v>0</v>
      </c>
      <c r="X94" s="160">
        <f t="shared" si="68"/>
        <v>0</v>
      </c>
      <c r="Y94" s="4">
        <f t="shared" ca="1" si="69"/>
        <v>0</v>
      </c>
      <c r="Z94" s="4">
        <f t="shared" si="62"/>
        <v>0</v>
      </c>
      <c r="AA94" s="4">
        <f t="shared" si="63"/>
        <v>0</v>
      </c>
      <c r="AB94" s="160">
        <f t="shared" ca="1" si="70"/>
        <v>0</v>
      </c>
    </row>
    <row r="95" spans="1:30" s="4" customFormat="1" ht="10.199999999999999">
      <c r="B95" s="9"/>
    </row>
    <row r="96" spans="1:30" s="4" customFormat="1" ht="10.199999999999999">
      <c r="B96" s="9"/>
    </row>
    <row r="97" spans="2:2" s="4" customFormat="1" ht="10.199999999999999">
      <c r="B97" s="9"/>
    </row>
    <row r="98" spans="2:2" s="4" customFormat="1" ht="10.199999999999999">
      <c r="B98" s="9"/>
    </row>
    <row r="99" spans="2:2" s="4" customFormat="1" ht="10.199999999999999">
      <c r="B99" s="9"/>
    </row>
    <row r="100" spans="2:2" s="4" customFormat="1" ht="10.199999999999999">
      <c r="B100" s="9"/>
    </row>
    <row r="101" spans="2:2" s="4" customFormat="1" ht="10.199999999999999">
      <c r="B101" s="9"/>
    </row>
    <row r="102" spans="2:2" s="4" customFormat="1" ht="10.199999999999999">
      <c r="B102" s="9"/>
    </row>
    <row r="103" spans="2:2" s="4" customFormat="1" ht="10.199999999999999">
      <c r="B103" s="9"/>
    </row>
    <row r="104" spans="2:2" s="4" customFormat="1" ht="10.199999999999999">
      <c r="B104" s="9"/>
    </row>
    <row r="105" spans="2:2" s="4" customFormat="1" ht="10.199999999999999">
      <c r="B105" s="9"/>
    </row>
    <row r="106" spans="2:2" s="4" customFormat="1" ht="10.199999999999999">
      <c r="B106" s="9"/>
    </row>
    <row r="107" spans="2:2" s="4" customFormat="1" ht="10.199999999999999">
      <c r="B107" s="9"/>
    </row>
    <row r="108" spans="2:2" s="4" customFormat="1" ht="10.199999999999999">
      <c r="B108" s="9"/>
    </row>
    <row r="109" spans="2:2" s="4" customFormat="1" ht="10.199999999999999">
      <c r="B109" s="9"/>
    </row>
    <row r="110" spans="2:2" s="4" customFormat="1" ht="10.199999999999999">
      <c r="B110" s="9"/>
    </row>
    <row r="111" spans="2:2" s="4" customFormat="1" ht="10.199999999999999">
      <c r="B111" s="9"/>
    </row>
    <row r="112" spans="2:2" s="4" customFormat="1" ht="10.199999999999999">
      <c r="B112" s="9"/>
    </row>
    <row r="113" spans="2:2" s="4" customFormat="1" ht="10.199999999999999">
      <c r="B113" s="9"/>
    </row>
    <row r="114" spans="2:2" s="4" customFormat="1" ht="10.199999999999999">
      <c r="B114" s="9"/>
    </row>
    <row r="115" spans="2:2" s="4" customFormat="1" ht="10.199999999999999">
      <c r="B115" s="9"/>
    </row>
    <row r="116" spans="2:2" s="4" customFormat="1" ht="10.199999999999999">
      <c r="B116" s="9"/>
    </row>
    <row r="117" spans="2:2" s="4" customFormat="1" ht="10.199999999999999">
      <c r="B117" s="9"/>
    </row>
    <row r="118" spans="2:2" s="4" customFormat="1" ht="10.199999999999999">
      <c r="B118" s="9"/>
    </row>
    <row r="119" spans="2:2" s="4" customFormat="1" ht="10.199999999999999">
      <c r="B119" s="9"/>
    </row>
    <row r="120" spans="2:2" s="4" customFormat="1" ht="10.199999999999999">
      <c r="B120" s="9"/>
    </row>
    <row r="121" spans="2:2" s="4" customFormat="1" ht="10.199999999999999">
      <c r="B121" s="9"/>
    </row>
    <row r="122" spans="2:2" s="4" customFormat="1" ht="10.199999999999999">
      <c r="B122" s="9"/>
    </row>
    <row r="123" spans="2:2" s="4" customFormat="1" ht="10.199999999999999">
      <c r="B123" s="9"/>
    </row>
    <row r="124" spans="2:2" s="4" customFormat="1" ht="10.199999999999999">
      <c r="B124" s="9"/>
    </row>
    <row r="125" spans="2:2" s="4" customFormat="1" ht="10.199999999999999">
      <c r="B125" s="9"/>
    </row>
    <row r="126" spans="2:2" s="4" customFormat="1" ht="10.199999999999999">
      <c r="B126" s="9"/>
    </row>
    <row r="127" spans="2:2" s="4" customFormat="1" ht="10.199999999999999">
      <c r="B127" s="9"/>
    </row>
    <row r="128" spans="2:2" s="4" customFormat="1" ht="10.199999999999999">
      <c r="B128" s="9"/>
    </row>
    <row r="129" spans="2:2" s="4" customFormat="1" ht="10.199999999999999">
      <c r="B129" s="9"/>
    </row>
    <row r="130" spans="2:2" s="4" customFormat="1" ht="10.199999999999999">
      <c r="B130" s="9"/>
    </row>
    <row r="131" spans="2:2" s="4" customFormat="1" ht="10.199999999999999">
      <c r="B131" s="9"/>
    </row>
    <row r="132" spans="2:2" s="4" customFormat="1" ht="10.199999999999999">
      <c r="B132" s="9"/>
    </row>
    <row r="133" spans="2:2" s="4" customFormat="1" ht="10.199999999999999">
      <c r="B133" s="9"/>
    </row>
    <row r="134" spans="2:2" s="4" customFormat="1" ht="10.199999999999999">
      <c r="B134" s="9"/>
    </row>
    <row r="135" spans="2:2" s="4" customFormat="1" ht="10.199999999999999">
      <c r="B135" s="9"/>
    </row>
    <row r="136" spans="2:2" s="4" customFormat="1" ht="10.199999999999999">
      <c r="B136" s="9"/>
    </row>
    <row r="137" spans="2:2" s="4" customFormat="1" ht="10.199999999999999">
      <c r="B137" s="9"/>
    </row>
    <row r="138" spans="2:2" s="4" customFormat="1" ht="10.199999999999999">
      <c r="B138" s="9"/>
    </row>
    <row r="139" spans="2:2" s="4" customFormat="1" ht="10.199999999999999">
      <c r="B139" s="9"/>
    </row>
    <row r="140" spans="2:2" s="4" customFormat="1" ht="10.199999999999999">
      <c r="B140" s="9"/>
    </row>
    <row r="141" spans="2:2" s="4" customFormat="1" ht="10.199999999999999">
      <c r="B141" s="9"/>
    </row>
    <row r="142" spans="2:2" s="4" customFormat="1" ht="10.199999999999999">
      <c r="B142" s="9"/>
    </row>
    <row r="143" spans="2:2" s="4" customFormat="1" ht="10.199999999999999">
      <c r="B143" s="9"/>
    </row>
    <row r="144" spans="2:2" s="4" customFormat="1" ht="10.199999999999999">
      <c r="B144" s="9"/>
    </row>
    <row r="145" spans="2:2" s="4" customFormat="1" ht="10.199999999999999">
      <c r="B145" s="9"/>
    </row>
    <row r="146" spans="2:2" s="4" customFormat="1" ht="10.199999999999999">
      <c r="B146" s="9"/>
    </row>
    <row r="147" spans="2:2" s="4" customFormat="1" ht="10.199999999999999">
      <c r="B147" s="9"/>
    </row>
    <row r="148" spans="2:2" s="4" customFormat="1" ht="10.199999999999999">
      <c r="B148" s="9"/>
    </row>
    <row r="149" spans="2:2" s="4" customFormat="1" ht="10.199999999999999">
      <c r="B149" s="9"/>
    </row>
    <row r="150" spans="2:2" s="4" customFormat="1" ht="10.199999999999999">
      <c r="B150" s="9"/>
    </row>
    <row r="151" spans="2:2" s="4" customFormat="1" ht="10.199999999999999">
      <c r="B151" s="9"/>
    </row>
    <row r="152" spans="2:2" s="4" customFormat="1" ht="10.199999999999999">
      <c r="B152" s="9"/>
    </row>
    <row r="153" spans="2:2" s="4" customFormat="1" ht="10.199999999999999">
      <c r="B153" s="9"/>
    </row>
    <row r="154" spans="2:2" s="4" customFormat="1" ht="10.199999999999999">
      <c r="B154" s="9"/>
    </row>
    <row r="155" spans="2:2" s="4" customFormat="1" ht="10.199999999999999">
      <c r="B155" s="9"/>
    </row>
    <row r="156" spans="2:2" s="4" customFormat="1" ht="10.199999999999999">
      <c r="B156" s="9"/>
    </row>
    <row r="157" spans="2:2" s="4" customFormat="1" ht="10.199999999999999">
      <c r="B157" s="9"/>
    </row>
    <row r="158" spans="2:2" s="4" customFormat="1" ht="10.199999999999999">
      <c r="B158" s="9"/>
    </row>
    <row r="159" spans="2:2" s="4" customFormat="1" ht="10.199999999999999">
      <c r="B159" s="9"/>
    </row>
    <row r="160" spans="2:2" s="4" customFormat="1" ht="10.199999999999999">
      <c r="B160" s="9"/>
    </row>
    <row r="161" spans="2:2" s="4" customFormat="1" ht="10.199999999999999">
      <c r="B161" s="9"/>
    </row>
    <row r="162" spans="2:2" s="4" customFormat="1" ht="10.199999999999999">
      <c r="B162" s="9"/>
    </row>
    <row r="163" spans="2:2" s="4" customFormat="1" ht="10.199999999999999">
      <c r="B163" s="9"/>
    </row>
    <row r="164" spans="2:2" s="4" customFormat="1" ht="10.199999999999999">
      <c r="B164" s="9"/>
    </row>
    <row r="165" spans="2:2" s="4" customFormat="1" ht="10.199999999999999">
      <c r="B165" s="9"/>
    </row>
    <row r="166" spans="2:2" s="4" customFormat="1" ht="10.199999999999999">
      <c r="B166" s="9"/>
    </row>
    <row r="167" spans="2:2" s="4" customFormat="1" ht="10.199999999999999">
      <c r="B167" s="9"/>
    </row>
    <row r="168" spans="2:2" s="4" customFormat="1" ht="10.199999999999999">
      <c r="B168" s="9"/>
    </row>
    <row r="169" spans="2:2" s="4" customFormat="1" ht="10.199999999999999">
      <c r="B169" s="9"/>
    </row>
    <row r="170" spans="2:2" s="4" customFormat="1" ht="10.199999999999999">
      <c r="B170" s="9"/>
    </row>
    <row r="171" spans="2:2" s="4" customFormat="1" ht="10.199999999999999">
      <c r="B171" s="9"/>
    </row>
    <row r="172" spans="2:2" s="4" customFormat="1" ht="10.199999999999999">
      <c r="B172" s="9"/>
    </row>
    <row r="173" spans="2:2" s="4" customFormat="1" ht="10.199999999999999">
      <c r="B173" s="9"/>
    </row>
    <row r="174" spans="2:2" s="4" customFormat="1" ht="10.199999999999999">
      <c r="B174" s="9"/>
    </row>
    <row r="175" spans="2:2" s="4" customFormat="1" ht="10.199999999999999">
      <c r="B175" s="9"/>
    </row>
    <row r="176" spans="2:2" s="4" customFormat="1" ht="10.199999999999999">
      <c r="B176" s="9"/>
    </row>
    <row r="177" spans="2:2" s="4" customFormat="1" ht="10.199999999999999">
      <c r="B177" s="9"/>
    </row>
    <row r="178" spans="2:2" s="4" customFormat="1" ht="10.199999999999999">
      <c r="B178" s="9"/>
    </row>
    <row r="179" spans="2:2" s="4" customFormat="1" ht="10.199999999999999">
      <c r="B179" s="9"/>
    </row>
    <row r="180" spans="2:2" s="4" customFormat="1" ht="10.199999999999999">
      <c r="B180" s="9"/>
    </row>
    <row r="181" spans="2:2" s="4" customFormat="1" ht="10.199999999999999">
      <c r="B181" s="9"/>
    </row>
    <row r="182" spans="2:2" s="4" customFormat="1" ht="10.199999999999999">
      <c r="B182" s="9"/>
    </row>
    <row r="183" spans="2:2" s="4" customFormat="1" ht="10.199999999999999">
      <c r="B183" s="9"/>
    </row>
    <row r="184" spans="2:2" s="4" customFormat="1" ht="10.199999999999999">
      <c r="B184" s="9"/>
    </row>
    <row r="185" spans="2:2" s="4" customFormat="1" ht="10.199999999999999">
      <c r="B185" s="9"/>
    </row>
    <row r="186" spans="2:2" s="4" customFormat="1" ht="10.199999999999999">
      <c r="B186" s="9"/>
    </row>
    <row r="187" spans="2:2" s="4" customFormat="1" ht="10.199999999999999">
      <c r="B187" s="9"/>
    </row>
    <row r="188" spans="2:2" s="4" customFormat="1" ht="10.199999999999999">
      <c r="B188" s="9"/>
    </row>
    <row r="189" spans="2:2" s="4" customFormat="1" ht="10.199999999999999">
      <c r="B189" s="9"/>
    </row>
    <row r="190" spans="2:2" s="4" customFormat="1" ht="10.199999999999999">
      <c r="B190" s="9"/>
    </row>
    <row r="191" spans="2:2" s="4" customFormat="1" ht="10.199999999999999">
      <c r="B191" s="9"/>
    </row>
    <row r="192" spans="2:2" s="4" customFormat="1" ht="10.199999999999999">
      <c r="B192" s="9"/>
    </row>
    <row r="193" spans="2:2" s="4" customFormat="1" ht="10.199999999999999">
      <c r="B193" s="9"/>
    </row>
    <row r="194" spans="2:2" s="4" customFormat="1" ht="10.199999999999999">
      <c r="B194" s="9"/>
    </row>
    <row r="195" spans="2:2" s="4" customFormat="1" ht="10.199999999999999">
      <c r="B195" s="9"/>
    </row>
    <row r="196" spans="2:2" s="4" customFormat="1" ht="10.199999999999999">
      <c r="B196" s="9"/>
    </row>
    <row r="197" spans="2:2" s="4" customFormat="1" ht="10.199999999999999">
      <c r="B197" s="9"/>
    </row>
    <row r="198" spans="2:2" s="4" customFormat="1" ht="10.199999999999999">
      <c r="B198" s="9"/>
    </row>
    <row r="199" spans="2:2" s="4" customFormat="1" ht="10.199999999999999">
      <c r="B199" s="9"/>
    </row>
    <row r="200" spans="2:2" s="4" customFormat="1" ht="10.199999999999999">
      <c r="B200" s="9"/>
    </row>
    <row r="201" spans="2:2" s="4" customFormat="1" ht="10.199999999999999">
      <c r="B201" s="9"/>
    </row>
    <row r="202" spans="2:2" s="4" customFormat="1" ht="10.199999999999999">
      <c r="B202" s="9"/>
    </row>
    <row r="203" spans="2:2" s="4" customFormat="1" ht="10.199999999999999">
      <c r="B203" s="9"/>
    </row>
    <row r="204" spans="2:2" s="4" customFormat="1" ht="10.199999999999999">
      <c r="B204" s="9"/>
    </row>
    <row r="205" spans="2:2" s="4" customFormat="1" ht="10.199999999999999">
      <c r="B205" s="9"/>
    </row>
    <row r="206" spans="2:2" s="4" customFormat="1" ht="10.199999999999999">
      <c r="B206" s="9"/>
    </row>
    <row r="207" spans="2:2" s="4" customFormat="1" ht="10.199999999999999">
      <c r="B207" s="9"/>
    </row>
    <row r="208" spans="2:2" s="4" customFormat="1" ht="10.199999999999999">
      <c r="B208" s="9"/>
    </row>
    <row r="209" spans="2:2" s="4" customFormat="1" ht="10.199999999999999">
      <c r="B209" s="9"/>
    </row>
    <row r="210" spans="2:2" s="4" customFormat="1" ht="10.199999999999999">
      <c r="B210" s="9"/>
    </row>
    <row r="211" spans="2:2" s="4" customFormat="1" ht="10.199999999999999">
      <c r="B211" s="9"/>
    </row>
    <row r="212" spans="2:2" s="4" customFormat="1" ht="10.199999999999999">
      <c r="B212" s="9"/>
    </row>
    <row r="213" spans="2:2" s="4" customFormat="1" ht="10.199999999999999">
      <c r="B213" s="9"/>
    </row>
    <row r="214" spans="2:2" s="4" customFormat="1" ht="10.199999999999999">
      <c r="B214" s="9"/>
    </row>
    <row r="215" spans="2:2" s="4" customFormat="1" ht="10.199999999999999">
      <c r="B215" s="9"/>
    </row>
    <row r="216" spans="2:2" s="4" customFormat="1" ht="10.199999999999999">
      <c r="B216" s="9"/>
    </row>
    <row r="217" spans="2:2" s="4" customFormat="1" ht="10.199999999999999">
      <c r="B217" s="9"/>
    </row>
    <row r="218" spans="2:2" s="4" customFormat="1" ht="10.199999999999999">
      <c r="B218" s="9"/>
    </row>
    <row r="219" spans="2:2" s="4" customFormat="1" ht="10.199999999999999">
      <c r="B219" s="9"/>
    </row>
    <row r="220" spans="2:2" s="4" customFormat="1" ht="10.199999999999999">
      <c r="B220" s="9"/>
    </row>
    <row r="221" spans="2:2" s="4" customFormat="1" ht="10.199999999999999">
      <c r="B221" s="9"/>
    </row>
    <row r="222" spans="2:2" s="4" customFormat="1" ht="10.199999999999999">
      <c r="B222" s="9"/>
    </row>
    <row r="223" spans="2:2" s="4" customFormat="1" ht="10.199999999999999">
      <c r="B223" s="9"/>
    </row>
    <row r="224" spans="2:2" s="4" customFormat="1" ht="10.199999999999999">
      <c r="B224" s="9"/>
    </row>
    <row r="225" spans="2:2" s="4" customFormat="1" ht="10.199999999999999">
      <c r="B225" s="9"/>
    </row>
    <row r="226" spans="2:2" s="4" customFormat="1" ht="10.199999999999999">
      <c r="B226" s="9"/>
    </row>
    <row r="227" spans="2:2" s="4" customFormat="1" ht="10.199999999999999">
      <c r="B227" s="9"/>
    </row>
    <row r="228" spans="2:2" s="4" customFormat="1" ht="10.199999999999999">
      <c r="B228" s="9"/>
    </row>
    <row r="229" spans="2:2" s="4" customFormat="1" ht="10.199999999999999">
      <c r="B229" s="9"/>
    </row>
    <row r="230" spans="2:2" s="4" customFormat="1" ht="10.199999999999999">
      <c r="B230" s="9"/>
    </row>
    <row r="231" spans="2:2" s="4" customFormat="1" ht="10.199999999999999">
      <c r="B231" s="9"/>
    </row>
    <row r="232" spans="2:2" s="4" customFormat="1" ht="10.199999999999999">
      <c r="B232" s="9"/>
    </row>
    <row r="233" spans="2:2" s="4" customFormat="1" ht="10.199999999999999">
      <c r="B233" s="9"/>
    </row>
    <row r="234" spans="2:2" s="4" customFormat="1" ht="10.199999999999999">
      <c r="B234" s="9"/>
    </row>
    <row r="235" spans="2:2" s="4" customFormat="1" ht="10.199999999999999">
      <c r="B235" s="9"/>
    </row>
    <row r="236" spans="2:2" s="4" customFormat="1" ht="10.199999999999999">
      <c r="B236" s="9"/>
    </row>
    <row r="237" spans="2:2" s="4" customFormat="1" ht="10.199999999999999">
      <c r="B237" s="9"/>
    </row>
    <row r="238" spans="2:2" s="4" customFormat="1" ht="10.199999999999999">
      <c r="B238" s="9"/>
    </row>
    <row r="239" spans="2:2" s="4" customFormat="1" ht="10.199999999999999">
      <c r="B239" s="9"/>
    </row>
    <row r="240" spans="2:2" s="4" customFormat="1" ht="10.199999999999999">
      <c r="B240" s="9"/>
    </row>
    <row r="241" spans="2:2" s="4" customFormat="1" ht="10.199999999999999">
      <c r="B241" s="9"/>
    </row>
    <row r="242" spans="2:2" s="4" customFormat="1" ht="10.199999999999999">
      <c r="B242" s="9"/>
    </row>
    <row r="243" spans="2:2" s="4" customFormat="1" ht="10.199999999999999">
      <c r="B243" s="9"/>
    </row>
    <row r="244" spans="2:2" s="4" customFormat="1" ht="10.199999999999999">
      <c r="B244" s="9"/>
    </row>
    <row r="245" spans="2:2" s="4" customFormat="1" ht="10.199999999999999">
      <c r="B245" s="9"/>
    </row>
    <row r="246" spans="2:2" s="4" customFormat="1" ht="10.199999999999999">
      <c r="B246" s="9"/>
    </row>
    <row r="247" spans="2:2" s="4" customFormat="1" ht="10.199999999999999">
      <c r="B247" s="9"/>
    </row>
    <row r="248" spans="2:2" s="4" customFormat="1" ht="10.199999999999999">
      <c r="B248" s="9"/>
    </row>
    <row r="249" spans="2:2" s="4" customFormat="1" ht="10.199999999999999">
      <c r="B249" s="9"/>
    </row>
    <row r="250" spans="2:2" s="4" customFormat="1" ht="10.199999999999999">
      <c r="B250" s="9"/>
    </row>
    <row r="251" spans="2:2" s="4" customFormat="1" ht="10.199999999999999">
      <c r="B251" s="9"/>
    </row>
    <row r="252" spans="2:2" s="4" customFormat="1" ht="10.199999999999999">
      <c r="B252" s="9"/>
    </row>
    <row r="253" spans="2:2" s="4" customFormat="1" ht="10.199999999999999">
      <c r="B253" s="9"/>
    </row>
    <row r="254" spans="2:2" s="4" customFormat="1" ht="10.199999999999999">
      <c r="B254" s="9"/>
    </row>
    <row r="255" spans="2:2" s="4" customFormat="1" ht="10.199999999999999">
      <c r="B255" s="9"/>
    </row>
    <row r="256" spans="2:2" s="4" customFormat="1" ht="10.199999999999999">
      <c r="B256" s="9"/>
    </row>
    <row r="257" spans="2:2" s="4" customFormat="1" ht="10.199999999999999">
      <c r="B257" s="9"/>
    </row>
    <row r="258" spans="2:2" s="4" customFormat="1" ht="10.199999999999999">
      <c r="B258" s="9"/>
    </row>
    <row r="259" spans="2:2" s="4" customFormat="1" ht="10.199999999999999">
      <c r="B259" s="9"/>
    </row>
    <row r="260" spans="2:2" s="4" customFormat="1" ht="10.199999999999999">
      <c r="B260" s="9"/>
    </row>
    <row r="261" spans="2:2" s="4" customFormat="1" ht="10.199999999999999">
      <c r="B261" s="9"/>
    </row>
    <row r="262" spans="2:2" s="4" customFormat="1" ht="10.199999999999999">
      <c r="B262" s="9"/>
    </row>
    <row r="263" spans="2:2" s="4" customFormat="1" ht="10.199999999999999">
      <c r="B263" s="9"/>
    </row>
    <row r="264" spans="2:2" s="4" customFormat="1" ht="10.199999999999999">
      <c r="B264" s="9"/>
    </row>
    <row r="265" spans="2:2" s="4" customFormat="1" ht="10.199999999999999">
      <c r="B265" s="9"/>
    </row>
    <row r="266" spans="2:2" s="4" customFormat="1" ht="10.199999999999999">
      <c r="B266" s="9"/>
    </row>
    <row r="267" spans="2:2" s="4" customFormat="1" ht="10.199999999999999">
      <c r="B267" s="9"/>
    </row>
    <row r="268" spans="2:2" s="4" customFormat="1" ht="10.199999999999999">
      <c r="B268" s="9"/>
    </row>
    <row r="269" spans="2:2" s="4" customFormat="1" ht="10.199999999999999">
      <c r="B269" s="9"/>
    </row>
    <row r="270" spans="2:2" s="4" customFormat="1" ht="10.199999999999999">
      <c r="B270" s="9"/>
    </row>
    <row r="271" spans="2:2" s="4" customFormat="1" ht="10.199999999999999">
      <c r="B271" s="9"/>
    </row>
    <row r="272" spans="2:2" s="4" customFormat="1" ht="10.199999999999999">
      <c r="B272" s="9"/>
    </row>
    <row r="273" spans="2:2" s="4" customFormat="1" ht="10.199999999999999">
      <c r="B273" s="9"/>
    </row>
    <row r="274" spans="2:2" s="4" customFormat="1" ht="10.199999999999999">
      <c r="B274" s="9"/>
    </row>
    <row r="275" spans="2:2" s="4" customFormat="1" ht="10.199999999999999">
      <c r="B275" s="9"/>
    </row>
    <row r="276" spans="2:2" s="4" customFormat="1" ht="10.199999999999999">
      <c r="B276" s="9"/>
    </row>
    <row r="277" spans="2:2" s="4" customFormat="1" ht="10.199999999999999">
      <c r="B277" s="9"/>
    </row>
    <row r="278" spans="2:2" s="4" customFormat="1" ht="10.199999999999999">
      <c r="B278" s="9"/>
    </row>
    <row r="279" spans="2:2" s="4" customFormat="1" ht="10.199999999999999">
      <c r="B279" s="9"/>
    </row>
    <row r="280" spans="2:2" s="4" customFormat="1" ht="10.199999999999999">
      <c r="B280" s="9"/>
    </row>
    <row r="281" spans="2:2" s="4" customFormat="1" ht="10.199999999999999">
      <c r="B281" s="9"/>
    </row>
    <row r="282" spans="2:2" s="4" customFormat="1" ht="10.199999999999999">
      <c r="B282" s="9"/>
    </row>
    <row r="283" spans="2:2" s="4" customFormat="1" ht="10.199999999999999">
      <c r="B283" s="9"/>
    </row>
    <row r="284" spans="2:2" s="4" customFormat="1" ht="10.199999999999999">
      <c r="B284" s="9"/>
    </row>
    <row r="285" spans="2:2" s="4" customFormat="1" ht="10.199999999999999">
      <c r="B285" s="9"/>
    </row>
    <row r="286" spans="2:2" s="4" customFormat="1" ht="10.199999999999999">
      <c r="B286" s="9"/>
    </row>
    <row r="287" spans="2:2" s="4" customFormat="1" ht="10.199999999999999">
      <c r="B287" s="9"/>
    </row>
    <row r="288" spans="2:2" s="4" customFormat="1" ht="10.199999999999999">
      <c r="B288" s="9"/>
    </row>
    <row r="289" spans="2:2" s="4" customFormat="1" ht="10.199999999999999">
      <c r="B289" s="9"/>
    </row>
    <row r="290" spans="2:2" s="4" customFormat="1" ht="10.199999999999999">
      <c r="B290" s="9"/>
    </row>
    <row r="291" spans="2:2" s="4" customFormat="1" ht="10.199999999999999">
      <c r="B291" s="9"/>
    </row>
    <row r="292" spans="2:2" s="4" customFormat="1" ht="10.199999999999999">
      <c r="B292" s="9"/>
    </row>
    <row r="293" spans="2:2" s="4" customFormat="1" ht="10.199999999999999">
      <c r="B293" s="9"/>
    </row>
    <row r="294" spans="2:2" s="4" customFormat="1" ht="10.199999999999999">
      <c r="B294" s="9"/>
    </row>
    <row r="295" spans="2:2" s="4" customFormat="1" ht="10.199999999999999">
      <c r="B295" s="9"/>
    </row>
    <row r="296" spans="2:2" s="4" customFormat="1" ht="10.199999999999999">
      <c r="B296" s="9"/>
    </row>
    <row r="297" spans="2:2" s="4" customFormat="1" ht="10.199999999999999">
      <c r="B297" s="9"/>
    </row>
    <row r="298" spans="2:2" s="4" customFormat="1" ht="10.199999999999999">
      <c r="B298" s="9"/>
    </row>
    <row r="299" spans="2:2" s="4" customFormat="1" ht="10.199999999999999">
      <c r="B299" s="9"/>
    </row>
    <row r="300" spans="2:2" s="4" customFormat="1" ht="10.199999999999999">
      <c r="B300" s="9"/>
    </row>
    <row r="301" spans="2:2" s="4" customFormat="1" ht="10.199999999999999">
      <c r="B301" s="9"/>
    </row>
    <row r="302" spans="2:2" s="4" customFormat="1" ht="10.199999999999999">
      <c r="B302" s="9"/>
    </row>
    <row r="303" spans="2:2" s="4" customFormat="1" ht="10.199999999999999">
      <c r="B303" s="9"/>
    </row>
    <row r="304" spans="2:2" s="4" customFormat="1" ht="10.199999999999999">
      <c r="B304" s="9"/>
    </row>
    <row r="305" spans="2:2" s="4" customFormat="1" ht="10.199999999999999">
      <c r="B305" s="9"/>
    </row>
    <row r="306" spans="2:2" s="4" customFormat="1" ht="10.199999999999999">
      <c r="B306" s="9"/>
    </row>
    <row r="307" spans="2:2" s="4" customFormat="1" ht="10.199999999999999">
      <c r="B307" s="9"/>
    </row>
    <row r="308" spans="2:2" s="4" customFormat="1" ht="10.199999999999999">
      <c r="B308" s="9"/>
    </row>
    <row r="309" spans="2:2" s="4" customFormat="1" ht="10.199999999999999">
      <c r="B309" s="9"/>
    </row>
  </sheetData>
  <mergeCells count="1">
    <mergeCell ref="R14:T14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L34"/>
  <sheetViews>
    <sheetView workbookViewId="0">
      <selection activeCell="E1" sqref="E1"/>
    </sheetView>
  </sheetViews>
  <sheetFormatPr defaultRowHeight="14.4"/>
  <cols>
    <col min="1" max="1" width="2.6640625" bestFit="1" customWidth="1"/>
    <col min="2" max="2" width="13.5546875" customWidth="1"/>
    <col min="3" max="3" width="8.33203125" customWidth="1"/>
    <col min="4" max="4" width="19" customWidth="1"/>
    <col min="5" max="5" width="13.109375" customWidth="1"/>
    <col min="6" max="6" width="10.5546875" bestFit="1" customWidth="1"/>
  </cols>
  <sheetData>
    <row r="1" spans="1:12">
      <c r="B1" s="230" t="s">
        <v>407</v>
      </c>
      <c r="C1" s="229"/>
      <c r="D1" s="205"/>
      <c r="E1" s="231">
        <f>(1+index)^MAX((x-x0),0)</f>
        <v>1</v>
      </c>
      <c r="F1" s="189"/>
      <c r="L1">
        <f>1.05^4</f>
        <v>1.21550625</v>
      </c>
    </row>
    <row r="2" spans="1:12">
      <c r="A2" s="16"/>
      <c r="B2" s="17" t="s">
        <v>66</v>
      </c>
      <c r="C2" s="16" t="s">
        <v>55</v>
      </c>
      <c r="D2" s="16" t="s">
        <v>56</v>
      </c>
      <c r="E2" s="16" t="s">
        <v>57</v>
      </c>
      <c r="F2" s="16" t="s">
        <v>58</v>
      </c>
      <c r="G2" s="16" t="s">
        <v>46</v>
      </c>
      <c r="H2" s="16" t="s">
        <v>31</v>
      </c>
      <c r="I2" s="16"/>
      <c r="J2" s="16" t="s">
        <v>59</v>
      </c>
    </row>
    <row r="3" spans="1:12">
      <c r="A3" s="202"/>
      <c r="B3" s="203">
        <f>EDATE(d_birth,12*ROUNDDOWN(x0,0))</f>
        <v>46001</v>
      </c>
      <c r="C3" s="202">
        <f>(B3&gt;0)*ROUNDDOWN(YEARFRAC(VALUE(d_birth),B3),0)</f>
        <v>58</v>
      </c>
      <c r="D3" s="202">
        <v>0</v>
      </c>
      <c r="E3" s="202">
        <f>(B3&gt;0)*(1-D3)</f>
        <v>1</v>
      </c>
      <c r="F3" s="202"/>
      <c r="G3" s="202"/>
      <c r="H3" s="202"/>
      <c r="I3" s="202"/>
      <c r="J3" s="202"/>
    </row>
    <row r="4" spans="1:12">
      <c r="A4" s="202">
        <v>0</v>
      </c>
      <c r="B4" s="204">
        <f>B3</f>
        <v>46001</v>
      </c>
      <c r="C4" s="202">
        <f>(B4&gt;0)*ROUNDDOWN(YEARFRAC(VALUE(d_birth),B4),0)</f>
        <v>58</v>
      </c>
      <c r="D4" s="202">
        <v>0</v>
      </c>
      <c r="E4" s="202">
        <f>(B4&gt;0)*(1-D4)</f>
        <v>1</v>
      </c>
      <c r="F4" s="202">
        <f>IF(A4=0,1,F3*E3)*(B4&gt;0)</f>
        <v>1</v>
      </c>
      <c r="G4" s="202">
        <f t="shared" ref="G4:G34" si="0">(1+i)^(-A4)*(B4&gt;0)</f>
        <v>1</v>
      </c>
      <c r="H4" s="202">
        <f t="shared" ref="H4:H34" si="1">IF(A4=0,1,IF(YEAR(B4)=YEAR($B$4),1,1+index)*H3*(B4&gt;0))</f>
        <v>1</v>
      </c>
      <c r="I4" s="202">
        <f t="shared" ref="I4:I34" si="2">IF(AND(B5=0,end=1),YEARFRAC(d_last,d_end,4),1)*(B4&gt;0)</f>
        <v>1</v>
      </c>
      <c r="J4" s="202">
        <f t="shared" ref="J4:J12" si="3">H4*G4*F4*I4</f>
        <v>1</v>
      </c>
    </row>
    <row r="5" spans="1:12">
      <c r="A5" s="202">
        <f>A4+1</f>
        <v>1</v>
      </c>
      <c r="B5" s="204">
        <f>IF(EDATE($B$4,12*A5)&lt;=d_begin,EDATE($B$4,A5*12),0)</f>
        <v>0</v>
      </c>
      <c r="C5" s="202">
        <f t="shared" ref="C5:C14" si="4">(B5&gt;0)*ROUNDDOWN(YEARFRAC(VALUE(d_birth),B5),0)</f>
        <v>0</v>
      </c>
      <c r="D5" s="202">
        <v>0</v>
      </c>
      <c r="E5" s="202">
        <f>(B5&gt;0)*(1-D5)</f>
        <v>0</v>
      </c>
      <c r="F5" s="202">
        <f>IF(A5=0,1,F4*E4)*(B5&gt;0)</f>
        <v>0</v>
      </c>
      <c r="G5" s="202">
        <f t="shared" si="0"/>
        <v>0</v>
      </c>
      <c r="H5" s="202">
        <f t="shared" si="1"/>
        <v>0</v>
      </c>
      <c r="I5" s="202">
        <f t="shared" si="2"/>
        <v>0</v>
      </c>
      <c r="J5" s="202">
        <f t="shared" si="3"/>
        <v>0</v>
      </c>
    </row>
    <row r="6" spans="1:12">
      <c r="A6" s="202">
        <f t="shared" ref="A6:A34" si="5">A5+1</f>
        <v>2</v>
      </c>
      <c r="B6" s="204">
        <f t="shared" ref="B6:B34" si="6">IF(EDATE($B$4,12*A6)&lt;=d_begin,EDATE($B$4,A6*12),0)</f>
        <v>0</v>
      </c>
      <c r="C6" s="202">
        <f t="shared" si="4"/>
        <v>0</v>
      </c>
      <c r="D6" s="202">
        <v>0</v>
      </c>
      <c r="E6" s="202">
        <f t="shared" ref="E6:E14" si="7">(B6&gt;0)*(1-D6)</f>
        <v>0</v>
      </c>
      <c r="F6" s="202">
        <f>IF(A6=0,1,F5*E5)*(B6&gt;0)</f>
        <v>0</v>
      </c>
      <c r="G6" s="202">
        <f t="shared" si="0"/>
        <v>0</v>
      </c>
      <c r="H6" s="202">
        <f t="shared" si="1"/>
        <v>0</v>
      </c>
      <c r="I6" s="202">
        <f t="shared" si="2"/>
        <v>0</v>
      </c>
      <c r="J6" s="202">
        <f t="shared" si="3"/>
        <v>0</v>
      </c>
    </row>
    <row r="7" spans="1:12">
      <c r="A7" s="202">
        <f t="shared" si="5"/>
        <v>3</v>
      </c>
      <c r="B7" s="204">
        <f t="shared" si="6"/>
        <v>0</v>
      </c>
      <c r="C7" s="202">
        <f t="shared" si="4"/>
        <v>0</v>
      </c>
      <c r="D7" s="202">
        <v>0</v>
      </c>
      <c r="E7" s="202">
        <f t="shared" si="7"/>
        <v>0</v>
      </c>
      <c r="F7" s="202">
        <f t="shared" ref="F7:F15" si="8">IF(A7=0,1,F6*E6)*(B7&gt;0)</f>
        <v>0</v>
      </c>
      <c r="G7" s="202">
        <f>(1+i)^(-A7)*(B7&gt;0)</f>
        <v>0</v>
      </c>
      <c r="H7" s="202">
        <f t="shared" si="1"/>
        <v>0</v>
      </c>
      <c r="I7" s="202">
        <f t="shared" si="2"/>
        <v>0</v>
      </c>
      <c r="J7" s="202">
        <f>H7*G7*F7*I7</f>
        <v>0</v>
      </c>
    </row>
    <row r="8" spans="1:12">
      <c r="A8" s="202">
        <f t="shared" si="5"/>
        <v>4</v>
      </c>
      <c r="B8" s="204">
        <f t="shared" si="6"/>
        <v>0</v>
      </c>
      <c r="C8" s="202">
        <f>(B8&gt;0)*ROUNDDOWN(YEARFRAC(VALUE(d_birth),B8),0)</f>
        <v>0</v>
      </c>
      <c r="D8" s="202">
        <v>0</v>
      </c>
      <c r="E8" s="202">
        <f t="shared" si="7"/>
        <v>0</v>
      </c>
      <c r="F8" s="202">
        <f t="shared" si="8"/>
        <v>0</v>
      </c>
      <c r="G8" s="202">
        <f t="shared" si="0"/>
        <v>0</v>
      </c>
      <c r="H8" s="202">
        <f t="shared" si="1"/>
        <v>0</v>
      </c>
      <c r="I8" s="202">
        <f t="shared" si="2"/>
        <v>0</v>
      </c>
      <c r="J8" s="202">
        <f t="shared" si="3"/>
        <v>0</v>
      </c>
    </row>
    <row r="9" spans="1:12">
      <c r="A9" s="202">
        <f t="shared" si="5"/>
        <v>5</v>
      </c>
      <c r="B9" s="204">
        <f t="shared" si="6"/>
        <v>0</v>
      </c>
      <c r="C9" s="202">
        <f t="shared" si="4"/>
        <v>0</v>
      </c>
      <c r="D9" s="202">
        <v>0</v>
      </c>
      <c r="E9" s="202">
        <f t="shared" si="7"/>
        <v>0</v>
      </c>
      <c r="F9" s="202">
        <f t="shared" si="8"/>
        <v>0</v>
      </c>
      <c r="G9" s="202">
        <f>(1+i)^(-A9)*(B9&gt;0)</f>
        <v>0</v>
      </c>
      <c r="H9" s="202">
        <f>IF(A9=0,1,IF(YEAR(B9)=YEAR($B$4),1,1+index)*H8*(B9&gt;0))</f>
        <v>0</v>
      </c>
      <c r="I9" s="202">
        <f t="shared" si="2"/>
        <v>0</v>
      </c>
      <c r="J9" s="202">
        <f t="shared" si="3"/>
        <v>0</v>
      </c>
    </row>
    <row r="10" spans="1:12">
      <c r="A10" s="202">
        <f t="shared" si="5"/>
        <v>6</v>
      </c>
      <c r="B10" s="204">
        <f t="shared" si="6"/>
        <v>0</v>
      </c>
      <c r="C10" s="202">
        <f t="shared" si="4"/>
        <v>0</v>
      </c>
      <c r="D10" s="202">
        <v>0</v>
      </c>
      <c r="E10" s="202">
        <f t="shared" si="7"/>
        <v>0</v>
      </c>
      <c r="F10" s="202">
        <f t="shared" si="8"/>
        <v>0</v>
      </c>
      <c r="G10" s="202">
        <f t="shared" si="0"/>
        <v>0</v>
      </c>
      <c r="H10" s="202">
        <f t="shared" si="1"/>
        <v>0</v>
      </c>
      <c r="I10" s="202">
        <f t="shared" si="2"/>
        <v>0</v>
      </c>
      <c r="J10" s="202">
        <f t="shared" si="3"/>
        <v>0</v>
      </c>
    </row>
    <row r="11" spans="1:12">
      <c r="A11" s="202">
        <f t="shared" si="5"/>
        <v>7</v>
      </c>
      <c r="B11" s="204">
        <f t="shared" si="6"/>
        <v>0</v>
      </c>
      <c r="C11" s="202">
        <f t="shared" si="4"/>
        <v>0</v>
      </c>
      <c r="D11" s="202">
        <v>0</v>
      </c>
      <c r="E11" s="202">
        <f t="shared" si="7"/>
        <v>0</v>
      </c>
      <c r="F11" s="202">
        <f t="shared" si="8"/>
        <v>0</v>
      </c>
      <c r="G11" s="202">
        <f t="shared" si="0"/>
        <v>0</v>
      </c>
      <c r="H11" s="202">
        <f t="shared" si="1"/>
        <v>0</v>
      </c>
      <c r="I11" s="202">
        <f t="shared" si="2"/>
        <v>0</v>
      </c>
      <c r="J11" s="202">
        <f t="shared" si="3"/>
        <v>0</v>
      </c>
    </row>
    <row r="12" spans="1:12">
      <c r="A12" s="202">
        <f t="shared" si="5"/>
        <v>8</v>
      </c>
      <c r="B12" s="204">
        <f t="shared" si="6"/>
        <v>0</v>
      </c>
      <c r="C12" s="202">
        <f t="shared" si="4"/>
        <v>0</v>
      </c>
      <c r="D12" s="202">
        <v>0</v>
      </c>
      <c r="E12" s="202">
        <f t="shared" si="7"/>
        <v>0</v>
      </c>
      <c r="F12" s="202">
        <f t="shared" si="8"/>
        <v>0</v>
      </c>
      <c r="G12" s="202">
        <f t="shared" si="0"/>
        <v>0</v>
      </c>
      <c r="H12" s="202">
        <f t="shared" si="1"/>
        <v>0</v>
      </c>
      <c r="I12" s="202">
        <f t="shared" si="2"/>
        <v>0</v>
      </c>
      <c r="J12" s="202">
        <f t="shared" si="3"/>
        <v>0</v>
      </c>
    </row>
    <row r="13" spans="1:12">
      <c r="A13" s="202">
        <f t="shared" si="5"/>
        <v>9</v>
      </c>
      <c r="B13" s="204">
        <f t="shared" si="6"/>
        <v>0</v>
      </c>
      <c r="C13" s="202">
        <f>(B13&gt;0)*ROUNDDOWN(YEARFRAC(VALUE(d_birth),B13),0)</f>
        <v>0</v>
      </c>
      <c r="D13" s="202">
        <v>0</v>
      </c>
      <c r="E13" s="202">
        <f>(B13&gt;0)*(1-D13)</f>
        <v>0</v>
      </c>
      <c r="F13" s="202">
        <f>IF(A13=0,1,F12*E12)*(B13&gt;0)</f>
        <v>0</v>
      </c>
      <c r="G13" s="202">
        <f>(1+i)^(-A13)*(B13&gt;0)</f>
        <v>0</v>
      </c>
      <c r="H13" s="202">
        <f t="shared" si="1"/>
        <v>0</v>
      </c>
      <c r="I13" s="202">
        <f t="shared" si="2"/>
        <v>0</v>
      </c>
      <c r="J13" s="202">
        <f>H13*G13*F13*I13</f>
        <v>0</v>
      </c>
    </row>
    <row r="14" spans="1:12">
      <c r="A14" s="202">
        <f t="shared" si="5"/>
        <v>10</v>
      </c>
      <c r="B14" s="204">
        <f t="shared" si="6"/>
        <v>0</v>
      </c>
      <c r="C14" s="202">
        <f t="shared" si="4"/>
        <v>0</v>
      </c>
      <c r="D14" s="202">
        <v>0</v>
      </c>
      <c r="E14" s="202">
        <f t="shared" si="7"/>
        <v>0</v>
      </c>
      <c r="F14" s="202">
        <f t="shared" si="8"/>
        <v>0</v>
      </c>
      <c r="G14" s="202">
        <f>(1+i)^(-A14)*(B14&gt;0)</f>
        <v>0</v>
      </c>
      <c r="H14" s="202">
        <f t="shared" si="1"/>
        <v>0</v>
      </c>
      <c r="I14" s="202">
        <f t="shared" si="2"/>
        <v>0</v>
      </c>
      <c r="J14" s="202">
        <f>H14*G14*F14*I14</f>
        <v>0</v>
      </c>
    </row>
    <row r="15" spans="1:12">
      <c r="A15" s="202">
        <f t="shared" si="5"/>
        <v>11</v>
      </c>
      <c r="B15" s="204">
        <f t="shared" si="6"/>
        <v>0</v>
      </c>
      <c r="C15" s="202">
        <f t="shared" ref="C15:C24" si="9">(B15&gt;0)*ROUNDDOWN(YEARFRAC(VALUE(d_birth),B15),0)</f>
        <v>0</v>
      </c>
      <c r="D15" s="202">
        <v>0</v>
      </c>
      <c r="E15" s="202">
        <f t="shared" ref="E15:E24" si="10">(B15&gt;0)*(1-D15)</f>
        <v>0</v>
      </c>
      <c r="F15" s="202">
        <f t="shared" si="8"/>
        <v>0</v>
      </c>
      <c r="G15" s="202">
        <f t="shared" si="0"/>
        <v>0</v>
      </c>
      <c r="H15" s="202">
        <f t="shared" si="1"/>
        <v>0</v>
      </c>
      <c r="I15" s="202">
        <f t="shared" si="2"/>
        <v>0</v>
      </c>
      <c r="J15" s="202">
        <f t="shared" ref="J15:J22" si="11">H15*G15*F15*I15</f>
        <v>0</v>
      </c>
    </row>
    <row r="16" spans="1:12">
      <c r="A16" s="202">
        <f t="shared" si="5"/>
        <v>12</v>
      </c>
      <c r="B16" s="204">
        <f t="shared" si="6"/>
        <v>0</v>
      </c>
      <c r="C16" s="202">
        <f t="shared" si="9"/>
        <v>0</v>
      </c>
      <c r="D16" s="202">
        <v>0</v>
      </c>
      <c r="E16" s="202">
        <f t="shared" si="10"/>
        <v>0</v>
      </c>
      <c r="F16" s="202">
        <f t="shared" ref="F16:F22" si="12">IF(A16=0,1,F15*E15)*(B16&gt;0)</f>
        <v>0</v>
      </c>
      <c r="G16" s="202">
        <f t="shared" si="0"/>
        <v>0</v>
      </c>
      <c r="H16" s="202">
        <f t="shared" si="1"/>
        <v>0</v>
      </c>
      <c r="I16" s="202">
        <f t="shared" si="2"/>
        <v>0</v>
      </c>
      <c r="J16" s="202">
        <f t="shared" si="11"/>
        <v>0</v>
      </c>
    </row>
    <row r="17" spans="1:10">
      <c r="A17" s="202">
        <f t="shared" si="5"/>
        <v>13</v>
      </c>
      <c r="B17" s="204">
        <f t="shared" si="6"/>
        <v>0</v>
      </c>
      <c r="C17" s="202">
        <f t="shared" si="9"/>
        <v>0</v>
      </c>
      <c r="D17" s="202">
        <v>0</v>
      </c>
      <c r="E17" s="202">
        <f t="shared" si="10"/>
        <v>0</v>
      </c>
      <c r="F17" s="202">
        <f t="shared" si="12"/>
        <v>0</v>
      </c>
      <c r="G17" s="202">
        <f t="shared" si="0"/>
        <v>0</v>
      </c>
      <c r="H17" s="202">
        <f t="shared" si="1"/>
        <v>0</v>
      </c>
      <c r="I17" s="202">
        <f t="shared" si="2"/>
        <v>0</v>
      </c>
      <c r="J17" s="202">
        <f t="shared" si="11"/>
        <v>0</v>
      </c>
    </row>
    <row r="18" spans="1:10">
      <c r="A18" s="202">
        <f t="shared" si="5"/>
        <v>14</v>
      </c>
      <c r="B18" s="204">
        <f t="shared" si="6"/>
        <v>0</v>
      </c>
      <c r="C18" s="202">
        <f t="shared" si="9"/>
        <v>0</v>
      </c>
      <c r="D18" s="202">
        <v>0</v>
      </c>
      <c r="E18" s="202">
        <f t="shared" si="10"/>
        <v>0</v>
      </c>
      <c r="F18" s="202">
        <f t="shared" si="12"/>
        <v>0</v>
      </c>
      <c r="G18" s="202">
        <f t="shared" si="0"/>
        <v>0</v>
      </c>
      <c r="H18" s="202">
        <f t="shared" si="1"/>
        <v>0</v>
      </c>
      <c r="I18" s="202">
        <f t="shared" si="2"/>
        <v>0</v>
      </c>
      <c r="J18" s="202">
        <f t="shared" si="11"/>
        <v>0</v>
      </c>
    </row>
    <row r="19" spans="1:10">
      <c r="A19" s="202">
        <f t="shared" si="5"/>
        <v>15</v>
      </c>
      <c r="B19" s="204">
        <f t="shared" si="6"/>
        <v>0</v>
      </c>
      <c r="C19" s="202">
        <f t="shared" si="9"/>
        <v>0</v>
      </c>
      <c r="D19" s="202">
        <v>0</v>
      </c>
      <c r="E19" s="202">
        <f t="shared" si="10"/>
        <v>0</v>
      </c>
      <c r="F19" s="202">
        <f t="shared" si="12"/>
        <v>0</v>
      </c>
      <c r="G19" s="202">
        <f t="shared" si="0"/>
        <v>0</v>
      </c>
      <c r="H19" s="202">
        <f t="shared" si="1"/>
        <v>0</v>
      </c>
      <c r="I19" s="202">
        <f t="shared" si="2"/>
        <v>0</v>
      </c>
      <c r="J19" s="202">
        <f t="shared" si="11"/>
        <v>0</v>
      </c>
    </row>
    <row r="20" spans="1:10">
      <c r="A20" s="202">
        <f t="shared" si="5"/>
        <v>16</v>
      </c>
      <c r="B20" s="204">
        <f t="shared" si="6"/>
        <v>0</v>
      </c>
      <c r="C20" s="202">
        <f t="shared" si="9"/>
        <v>0</v>
      </c>
      <c r="D20" s="202">
        <v>0</v>
      </c>
      <c r="E20" s="202">
        <f t="shared" si="10"/>
        <v>0</v>
      </c>
      <c r="F20" s="202">
        <f t="shared" si="12"/>
        <v>0</v>
      </c>
      <c r="G20" s="202">
        <f t="shared" si="0"/>
        <v>0</v>
      </c>
      <c r="H20" s="202">
        <f t="shared" si="1"/>
        <v>0</v>
      </c>
      <c r="I20" s="202">
        <f t="shared" si="2"/>
        <v>0</v>
      </c>
      <c r="J20" s="202">
        <f t="shared" si="11"/>
        <v>0</v>
      </c>
    </row>
    <row r="21" spans="1:10">
      <c r="A21" s="202">
        <f t="shared" si="5"/>
        <v>17</v>
      </c>
      <c r="B21" s="204">
        <f t="shared" si="6"/>
        <v>0</v>
      </c>
      <c r="C21" s="202">
        <f t="shared" si="9"/>
        <v>0</v>
      </c>
      <c r="D21" s="202">
        <v>0</v>
      </c>
      <c r="E21" s="202">
        <f t="shared" si="10"/>
        <v>0</v>
      </c>
      <c r="F21" s="202">
        <f t="shared" si="12"/>
        <v>0</v>
      </c>
      <c r="G21" s="202">
        <f t="shared" si="0"/>
        <v>0</v>
      </c>
      <c r="H21" s="202">
        <f t="shared" si="1"/>
        <v>0</v>
      </c>
      <c r="I21" s="202">
        <f t="shared" si="2"/>
        <v>0</v>
      </c>
      <c r="J21" s="202">
        <f t="shared" si="11"/>
        <v>0</v>
      </c>
    </row>
    <row r="22" spans="1:10">
      <c r="A22" s="202">
        <f t="shared" si="5"/>
        <v>18</v>
      </c>
      <c r="B22" s="204">
        <f t="shared" si="6"/>
        <v>0</v>
      </c>
      <c r="C22" s="202">
        <f t="shared" si="9"/>
        <v>0</v>
      </c>
      <c r="D22" s="202">
        <v>0</v>
      </c>
      <c r="E22" s="202">
        <f t="shared" si="10"/>
        <v>0</v>
      </c>
      <c r="F22" s="202">
        <f t="shared" si="12"/>
        <v>0</v>
      </c>
      <c r="G22" s="202">
        <f t="shared" si="0"/>
        <v>0</v>
      </c>
      <c r="H22" s="202">
        <f t="shared" si="1"/>
        <v>0</v>
      </c>
      <c r="I22" s="202">
        <f t="shared" si="2"/>
        <v>0</v>
      </c>
      <c r="J22" s="202">
        <f t="shared" si="11"/>
        <v>0</v>
      </c>
    </row>
    <row r="23" spans="1:10">
      <c r="A23" s="202">
        <f t="shared" si="5"/>
        <v>19</v>
      </c>
      <c r="B23" s="204">
        <f t="shared" si="6"/>
        <v>0</v>
      </c>
      <c r="C23" s="202">
        <f t="shared" si="9"/>
        <v>0</v>
      </c>
      <c r="D23" s="202">
        <v>0</v>
      </c>
      <c r="E23" s="202">
        <f t="shared" si="10"/>
        <v>0</v>
      </c>
      <c r="F23" s="202">
        <f t="shared" ref="F23:F34" si="13">IF(A23=0,1,F22*E22)*(B23&gt;0)</f>
        <v>0</v>
      </c>
      <c r="G23" s="202">
        <f t="shared" si="0"/>
        <v>0</v>
      </c>
      <c r="H23" s="202">
        <f t="shared" si="1"/>
        <v>0</v>
      </c>
      <c r="I23" s="202">
        <f t="shared" si="2"/>
        <v>0</v>
      </c>
      <c r="J23" s="202">
        <f t="shared" ref="J23:J34" si="14">H23*G23*F23*I23</f>
        <v>0</v>
      </c>
    </row>
    <row r="24" spans="1:10">
      <c r="A24" s="202">
        <f t="shared" si="5"/>
        <v>20</v>
      </c>
      <c r="B24" s="204">
        <f t="shared" si="6"/>
        <v>0</v>
      </c>
      <c r="C24" s="202">
        <f t="shared" si="9"/>
        <v>0</v>
      </c>
      <c r="D24" s="202">
        <v>0</v>
      </c>
      <c r="E24" s="202">
        <f t="shared" si="10"/>
        <v>0</v>
      </c>
      <c r="F24" s="202">
        <f t="shared" si="13"/>
        <v>0</v>
      </c>
      <c r="G24" s="202">
        <f t="shared" si="0"/>
        <v>0</v>
      </c>
      <c r="H24" s="202">
        <f t="shared" si="1"/>
        <v>0</v>
      </c>
      <c r="I24" s="202">
        <f t="shared" si="2"/>
        <v>0</v>
      </c>
      <c r="J24" s="202">
        <f t="shared" si="14"/>
        <v>0</v>
      </c>
    </row>
    <row r="25" spans="1:10">
      <c r="A25" s="202">
        <f t="shared" si="5"/>
        <v>21</v>
      </c>
      <c r="B25" s="204">
        <f t="shared" si="6"/>
        <v>0</v>
      </c>
      <c r="C25" s="202">
        <f t="shared" ref="C25:C32" si="15">(B25&gt;0)*ROUNDDOWN(YEARFRAC(VALUE(d_birth),B25),0)</f>
        <v>0</v>
      </c>
      <c r="D25" s="202">
        <v>0</v>
      </c>
      <c r="E25" s="202">
        <f t="shared" ref="E25:E32" si="16">(B25&gt;0)*(1-D25)</f>
        <v>0</v>
      </c>
      <c r="F25" s="202">
        <f t="shared" si="13"/>
        <v>0</v>
      </c>
      <c r="G25" s="202">
        <f t="shared" si="0"/>
        <v>0</v>
      </c>
      <c r="H25" s="202">
        <f t="shared" si="1"/>
        <v>0</v>
      </c>
      <c r="I25" s="202">
        <f t="shared" si="2"/>
        <v>0</v>
      </c>
      <c r="J25" s="202">
        <f t="shared" si="14"/>
        <v>0</v>
      </c>
    </row>
    <row r="26" spans="1:10">
      <c r="A26" s="202">
        <f t="shared" si="5"/>
        <v>22</v>
      </c>
      <c r="B26" s="204">
        <f t="shared" si="6"/>
        <v>0</v>
      </c>
      <c r="C26" s="202">
        <f t="shared" si="15"/>
        <v>0</v>
      </c>
      <c r="D26" s="202">
        <v>0</v>
      </c>
      <c r="E26" s="202">
        <f t="shared" si="16"/>
        <v>0</v>
      </c>
      <c r="F26" s="202">
        <f t="shared" si="13"/>
        <v>0</v>
      </c>
      <c r="G26" s="202">
        <f t="shared" si="0"/>
        <v>0</v>
      </c>
      <c r="H26" s="202">
        <f t="shared" si="1"/>
        <v>0</v>
      </c>
      <c r="I26" s="202">
        <f t="shared" si="2"/>
        <v>0</v>
      </c>
      <c r="J26" s="202">
        <f t="shared" si="14"/>
        <v>0</v>
      </c>
    </row>
    <row r="27" spans="1:10">
      <c r="A27" s="202">
        <f t="shared" si="5"/>
        <v>23</v>
      </c>
      <c r="B27" s="204">
        <f t="shared" si="6"/>
        <v>0</v>
      </c>
      <c r="C27" s="202">
        <f t="shared" si="15"/>
        <v>0</v>
      </c>
      <c r="D27" s="202">
        <v>0</v>
      </c>
      <c r="E27" s="202">
        <f t="shared" si="16"/>
        <v>0</v>
      </c>
      <c r="F27" s="202">
        <f t="shared" si="13"/>
        <v>0</v>
      </c>
      <c r="G27" s="202">
        <f t="shared" si="0"/>
        <v>0</v>
      </c>
      <c r="H27" s="202">
        <f t="shared" si="1"/>
        <v>0</v>
      </c>
      <c r="I27" s="202">
        <f t="shared" si="2"/>
        <v>0</v>
      </c>
      <c r="J27" s="202">
        <f t="shared" si="14"/>
        <v>0</v>
      </c>
    </row>
    <row r="28" spans="1:10">
      <c r="A28" s="202">
        <f t="shared" si="5"/>
        <v>24</v>
      </c>
      <c r="B28" s="204">
        <f t="shared" si="6"/>
        <v>0</v>
      </c>
      <c r="C28" s="202">
        <f t="shared" si="15"/>
        <v>0</v>
      </c>
      <c r="D28" s="202">
        <v>0</v>
      </c>
      <c r="E28" s="202">
        <f t="shared" si="16"/>
        <v>0</v>
      </c>
      <c r="F28" s="202">
        <f t="shared" si="13"/>
        <v>0</v>
      </c>
      <c r="G28" s="202">
        <f t="shared" si="0"/>
        <v>0</v>
      </c>
      <c r="H28" s="202">
        <f t="shared" si="1"/>
        <v>0</v>
      </c>
      <c r="I28" s="202">
        <f t="shared" si="2"/>
        <v>0</v>
      </c>
      <c r="J28" s="202">
        <f t="shared" si="14"/>
        <v>0</v>
      </c>
    </row>
    <row r="29" spans="1:10">
      <c r="A29" s="202">
        <f t="shared" si="5"/>
        <v>25</v>
      </c>
      <c r="B29" s="204">
        <f t="shared" si="6"/>
        <v>0</v>
      </c>
      <c r="C29" s="202">
        <f t="shared" si="15"/>
        <v>0</v>
      </c>
      <c r="D29" s="202">
        <v>0</v>
      </c>
      <c r="E29" s="202">
        <f t="shared" si="16"/>
        <v>0</v>
      </c>
      <c r="F29" s="202">
        <f t="shared" si="13"/>
        <v>0</v>
      </c>
      <c r="G29" s="202">
        <f t="shared" si="0"/>
        <v>0</v>
      </c>
      <c r="H29" s="202">
        <f t="shared" si="1"/>
        <v>0</v>
      </c>
      <c r="I29" s="202">
        <f t="shared" si="2"/>
        <v>0</v>
      </c>
      <c r="J29" s="202">
        <f t="shared" si="14"/>
        <v>0</v>
      </c>
    </row>
    <row r="30" spans="1:10">
      <c r="A30" s="202">
        <f t="shared" si="5"/>
        <v>26</v>
      </c>
      <c r="B30" s="204">
        <f t="shared" si="6"/>
        <v>0</v>
      </c>
      <c r="C30" s="202">
        <f t="shared" si="15"/>
        <v>0</v>
      </c>
      <c r="D30" s="202">
        <v>0</v>
      </c>
      <c r="E30" s="202">
        <f t="shared" si="16"/>
        <v>0</v>
      </c>
      <c r="F30" s="202">
        <f t="shared" si="13"/>
        <v>0</v>
      </c>
      <c r="G30" s="202">
        <f t="shared" si="0"/>
        <v>0</v>
      </c>
      <c r="H30" s="202">
        <f t="shared" si="1"/>
        <v>0</v>
      </c>
      <c r="I30" s="202">
        <f t="shared" si="2"/>
        <v>0</v>
      </c>
      <c r="J30" s="202">
        <f t="shared" si="14"/>
        <v>0</v>
      </c>
    </row>
    <row r="31" spans="1:10">
      <c r="A31" s="202">
        <f t="shared" si="5"/>
        <v>27</v>
      </c>
      <c r="B31" s="204">
        <f t="shared" si="6"/>
        <v>0</v>
      </c>
      <c r="C31" s="202">
        <f t="shared" si="15"/>
        <v>0</v>
      </c>
      <c r="D31" s="202">
        <v>0</v>
      </c>
      <c r="E31" s="202">
        <f t="shared" si="16"/>
        <v>0</v>
      </c>
      <c r="F31" s="202">
        <f t="shared" si="13"/>
        <v>0</v>
      </c>
      <c r="G31" s="202">
        <f t="shared" si="0"/>
        <v>0</v>
      </c>
      <c r="H31" s="202">
        <f t="shared" si="1"/>
        <v>0</v>
      </c>
      <c r="I31" s="202">
        <f t="shared" si="2"/>
        <v>0</v>
      </c>
      <c r="J31" s="202">
        <f t="shared" si="14"/>
        <v>0</v>
      </c>
    </row>
    <row r="32" spans="1:10">
      <c r="A32" s="202">
        <f t="shared" si="5"/>
        <v>28</v>
      </c>
      <c r="B32" s="204">
        <f t="shared" si="6"/>
        <v>0</v>
      </c>
      <c r="C32" s="202">
        <f t="shared" si="15"/>
        <v>0</v>
      </c>
      <c r="D32" s="202">
        <v>0</v>
      </c>
      <c r="E32" s="202">
        <f t="shared" si="16"/>
        <v>0</v>
      </c>
      <c r="F32" s="202">
        <f t="shared" si="13"/>
        <v>0</v>
      </c>
      <c r="G32" s="202">
        <f t="shared" si="0"/>
        <v>0</v>
      </c>
      <c r="H32" s="202">
        <f t="shared" si="1"/>
        <v>0</v>
      </c>
      <c r="I32" s="202">
        <f t="shared" si="2"/>
        <v>0</v>
      </c>
      <c r="J32" s="202">
        <f t="shared" si="14"/>
        <v>0</v>
      </c>
    </row>
    <row r="33" spans="1:10">
      <c r="A33" s="202">
        <f t="shared" si="5"/>
        <v>29</v>
      </c>
      <c r="B33" s="204">
        <f t="shared" si="6"/>
        <v>0</v>
      </c>
      <c r="C33" s="202">
        <f>(B33&gt;0)*ROUNDDOWN(YEARFRAC(VALUE(d_birth),B33),0)</f>
        <v>0</v>
      </c>
      <c r="D33" s="202">
        <v>0</v>
      </c>
      <c r="E33" s="202">
        <f>(B33&gt;0)*(1-D33)</f>
        <v>0</v>
      </c>
      <c r="F33" s="202">
        <f t="shared" si="13"/>
        <v>0</v>
      </c>
      <c r="G33" s="202">
        <f t="shared" si="0"/>
        <v>0</v>
      </c>
      <c r="H33" s="202">
        <f t="shared" si="1"/>
        <v>0</v>
      </c>
      <c r="I33" s="202">
        <f t="shared" si="2"/>
        <v>0</v>
      </c>
      <c r="J33" s="202">
        <f t="shared" si="14"/>
        <v>0</v>
      </c>
    </row>
    <row r="34" spans="1:10">
      <c r="A34" s="202">
        <f t="shared" si="5"/>
        <v>30</v>
      </c>
      <c r="B34" s="204">
        <f t="shared" si="6"/>
        <v>0</v>
      </c>
      <c r="C34" s="202">
        <f>(B34&gt;0)*ROUNDDOWN(YEARFRAC(VALUE(d_birth),B34),0)</f>
        <v>0</v>
      </c>
      <c r="D34" s="202">
        <f ca="1">(B34&gt;0)*VLOOKUP(C34,mort,pol+1,0)/1000</f>
        <v>0</v>
      </c>
      <c r="E34" s="202">
        <f ca="1">(B34&gt;0)*(1-D34)</f>
        <v>0</v>
      </c>
      <c r="F34" s="202">
        <f t="shared" si="13"/>
        <v>0</v>
      </c>
      <c r="G34" s="202">
        <f t="shared" si="0"/>
        <v>0</v>
      </c>
      <c r="H34" s="202">
        <f t="shared" si="1"/>
        <v>0</v>
      </c>
      <c r="I34" s="202">
        <f t="shared" si="2"/>
        <v>0</v>
      </c>
      <c r="J34" s="202">
        <f t="shared" si="14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F737-D9F3-4856-ABD1-A18FB1928E67}">
  <sheetPr codeName="Лист7"/>
  <dimension ref="B2:C4"/>
  <sheetViews>
    <sheetView workbookViewId="0">
      <selection activeCell="C13" sqref="C13"/>
    </sheetView>
  </sheetViews>
  <sheetFormatPr defaultRowHeight="14.4"/>
  <cols>
    <col min="2" max="2" width="20" customWidth="1"/>
    <col min="3" max="3" width="60.109375" customWidth="1"/>
  </cols>
  <sheetData>
    <row r="2" spans="2:3">
      <c r="B2" t="s">
        <v>420</v>
      </c>
      <c r="C2" t="s">
        <v>421</v>
      </c>
    </row>
    <row r="3" spans="2:3" ht="57.6">
      <c r="B3" s="234">
        <v>44936</v>
      </c>
      <c r="C3" s="233" t="s">
        <v>422</v>
      </c>
    </row>
    <row r="4" spans="2:3">
      <c r="B4" s="10">
        <v>45980</v>
      </c>
      <c r="C4" t="s">
        <v>450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5"/>
  <dimension ref="A1:N739"/>
  <sheetViews>
    <sheetView view="pageBreakPreview" topLeftCell="A11" zoomScale="120" zoomScaleNormal="100" zoomScaleSheetLayoutView="120" workbookViewId="0">
      <selection activeCell="B26" sqref="B26"/>
    </sheetView>
  </sheetViews>
  <sheetFormatPr defaultRowHeight="13.2"/>
  <cols>
    <col min="1" max="1" width="20.5546875" style="24" customWidth="1"/>
    <col min="2" max="3" width="69.33203125" style="24" customWidth="1"/>
    <col min="4" max="5" width="17.6640625" style="24" hidden="1" customWidth="1"/>
    <col min="6" max="6" width="14.6640625" style="24" hidden="1" customWidth="1"/>
    <col min="7" max="7" width="28.5546875" style="24" hidden="1" customWidth="1"/>
    <col min="8" max="8" width="30.44140625" style="24" hidden="1" customWidth="1"/>
    <col min="9" max="9" width="20.88671875" style="24" hidden="1" customWidth="1"/>
    <col min="10" max="10" width="18" style="24" hidden="1" customWidth="1"/>
    <col min="11" max="11" width="14.5546875" style="24" customWidth="1"/>
    <col min="12" max="12" width="28.5546875" style="24" customWidth="1"/>
    <col min="13" max="13" width="32" style="24" customWidth="1"/>
    <col min="14" max="14" width="15" style="24" customWidth="1"/>
    <col min="15" max="261" width="9.109375" style="24"/>
    <col min="262" max="262" width="20.5546875" style="24" customWidth="1"/>
    <col min="263" max="263" width="68.44140625" style="24" customWidth="1"/>
    <col min="264" max="265" width="10.109375" style="24" bestFit="1" customWidth="1"/>
    <col min="266" max="266" width="10.109375" style="24" customWidth="1"/>
    <col min="267" max="267" width="28.5546875" style="24" customWidth="1"/>
    <col min="268" max="268" width="32" style="24" customWidth="1"/>
    <col min="269" max="269" width="15" style="24" customWidth="1"/>
    <col min="270" max="517" width="9.109375" style="24"/>
    <col min="518" max="518" width="20.5546875" style="24" customWidth="1"/>
    <col min="519" max="519" width="68.44140625" style="24" customWidth="1"/>
    <col min="520" max="521" width="10.109375" style="24" bestFit="1" customWidth="1"/>
    <col min="522" max="522" width="10.109375" style="24" customWidth="1"/>
    <col min="523" max="523" width="28.5546875" style="24" customWidth="1"/>
    <col min="524" max="524" width="32" style="24" customWidth="1"/>
    <col min="525" max="525" width="15" style="24" customWidth="1"/>
    <col min="526" max="773" width="9.109375" style="24"/>
    <col min="774" max="774" width="20.5546875" style="24" customWidth="1"/>
    <col min="775" max="775" width="68.44140625" style="24" customWidth="1"/>
    <col min="776" max="777" width="10.109375" style="24" bestFit="1" customWidth="1"/>
    <col min="778" max="778" width="10.109375" style="24" customWidth="1"/>
    <col min="779" max="779" width="28.5546875" style="24" customWidth="1"/>
    <col min="780" max="780" width="32" style="24" customWidth="1"/>
    <col min="781" max="781" width="15" style="24" customWidth="1"/>
    <col min="782" max="1029" width="9.109375" style="24"/>
    <col min="1030" max="1030" width="20.5546875" style="24" customWidth="1"/>
    <col min="1031" max="1031" width="68.44140625" style="24" customWidth="1"/>
    <col min="1032" max="1033" width="10.109375" style="24" bestFit="1" customWidth="1"/>
    <col min="1034" max="1034" width="10.109375" style="24" customWidth="1"/>
    <col min="1035" max="1035" width="28.5546875" style="24" customWidth="1"/>
    <col min="1036" max="1036" width="32" style="24" customWidth="1"/>
    <col min="1037" max="1037" width="15" style="24" customWidth="1"/>
    <col min="1038" max="1285" width="9.109375" style="24"/>
    <col min="1286" max="1286" width="20.5546875" style="24" customWidth="1"/>
    <col min="1287" max="1287" width="68.44140625" style="24" customWidth="1"/>
    <col min="1288" max="1289" width="10.109375" style="24" bestFit="1" customWidth="1"/>
    <col min="1290" max="1290" width="10.109375" style="24" customWidth="1"/>
    <col min="1291" max="1291" width="28.5546875" style="24" customWidth="1"/>
    <col min="1292" max="1292" width="32" style="24" customWidth="1"/>
    <col min="1293" max="1293" width="15" style="24" customWidth="1"/>
    <col min="1294" max="1541" width="9.109375" style="24"/>
    <col min="1542" max="1542" width="20.5546875" style="24" customWidth="1"/>
    <col min="1543" max="1543" width="68.44140625" style="24" customWidth="1"/>
    <col min="1544" max="1545" width="10.109375" style="24" bestFit="1" customWidth="1"/>
    <col min="1546" max="1546" width="10.109375" style="24" customWidth="1"/>
    <col min="1547" max="1547" width="28.5546875" style="24" customWidth="1"/>
    <col min="1548" max="1548" width="32" style="24" customWidth="1"/>
    <col min="1549" max="1549" width="15" style="24" customWidth="1"/>
    <col min="1550" max="1797" width="9.109375" style="24"/>
    <col min="1798" max="1798" width="20.5546875" style="24" customWidth="1"/>
    <col min="1799" max="1799" width="68.44140625" style="24" customWidth="1"/>
    <col min="1800" max="1801" width="10.109375" style="24" bestFit="1" customWidth="1"/>
    <col min="1802" max="1802" width="10.109375" style="24" customWidth="1"/>
    <col min="1803" max="1803" width="28.5546875" style="24" customWidth="1"/>
    <col min="1804" max="1804" width="32" style="24" customWidth="1"/>
    <col min="1805" max="1805" width="15" style="24" customWidth="1"/>
    <col min="1806" max="2053" width="9.109375" style="24"/>
    <col min="2054" max="2054" width="20.5546875" style="24" customWidth="1"/>
    <col min="2055" max="2055" width="68.44140625" style="24" customWidth="1"/>
    <col min="2056" max="2057" width="10.109375" style="24" bestFit="1" customWidth="1"/>
    <col min="2058" max="2058" width="10.109375" style="24" customWidth="1"/>
    <col min="2059" max="2059" width="28.5546875" style="24" customWidth="1"/>
    <col min="2060" max="2060" width="32" style="24" customWidth="1"/>
    <col min="2061" max="2061" width="15" style="24" customWidth="1"/>
    <col min="2062" max="2309" width="9.109375" style="24"/>
    <col min="2310" max="2310" width="20.5546875" style="24" customWidth="1"/>
    <col min="2311" max="2311" width="68.44140625" style="24" customWidth="1"/>
    <col min="2312" max="2313" width="10.109375" style="24" bestFit="1" customWidth="1"/>
    <col min="2314" max="2314" width="10.109375" style="24" customWidth="1"/>
    <col min="2315" max="2315" width="28.5546875" style="24" customWidth="1"/>
    <col min="2316" max="2316" width="32" style="24" customWidth="1"/>
    <col min="2317" max="2317" width="15" style="24" customWidth="1"/>
    <col min="2318" max="2565" width="9.109375" style="24"/>
    <col min="2566" max="2566" width="20.5546875" style="24" customWidth="1"/>
    <col min="2567" max="2567" width="68.44140625" style="24" customWidth="1"/>
    <col min="2568" max="2569" width="10.109375" style="24" bestFit="1" customWidth="1"/>
    <col min="2570" max="2570" width="10.109375" style="24" customWidth="1"/>
    <col min="2571" max="2571" width="28.5546875" style="24" customWidth="1"/>
    <col min="2572" max="2572" width="32" style="24" customWidth="1"/>
    <col min="2573" max="2573" width="15" style="24" customWidth="1"/>
    <col min="2574" max="2821" width="9.109375" style="24"/>
    <col min="2822" max="2822" width="20.5546875" style="24" customWidth="1"/>
    <col min="2823" max="2823" width="68.44140625" style="24" customWidth="1"/>
    <col min="2824" max="2825" width="10.109375" style="24" bestFit="1" customWidth="1"/>
    <col min="2826" max="2826" width="10.109375" style="24" customWidth="1"/>
    <col min="2827" max="2827" width="28.5546875" style="24" customWidth="1"/>
    <col min="2828" max="2828" width="32" style="24" customWidth="1"/>
    <col min="2829" max="2829" width="15" style="24" customWidth="1"/>
    <col min="2830" max="3077" width="9.109375" style="24"/>
    <col min="3078" max="3078" width="20.5546875" style="24" customWidth="1"/>
    <col min="3079" max="3079" width="68.44140625" style="24" customWidth="1"/>
    <col min="3080" max="3081" width="10.109375" style="24" bestFit="1" customWidth="1"/>
    <col min="3082" max="3082" width="10.109375" style="24" customWidth="1"/>
    <col min="3083" max="3083" width="28.5546875" style="24" customWidth="1"/>
    <col min="3084" max="3084" width="32" style="24" customWidth="1"/>
    <col min="3085" max="3085" width="15" style="24" customWidth="1"/>
    <col min="3086" max="3333" width="9.109375" style="24"/>
    <col min="3334" max="3334" width="20.5546875" style="24" customWidth="1"/>
    <col min="3335" max="3335" width="68.44140625" style="24" customWidth="1"/>
    <col min="3336" max="3337" width="10.109375" style="24" bestFit="1" customWidth="1"/>
    <col min="3338" max="3338" width="10.109375" style="24" customWidth="1"/>
    <col min="3339" max="3339" width="28.5546875" style="24" customWidth="1"/>
    <col min="3340" max="3340" width="32" style="24" customWidth="1"/>
    <col min="3341" max="3341" width="15" style="24" customWidth="1"/>
    <col min="3342" max="3589" width="9.109375" style="24"/>
    <col min="3590" max="3590" width="20.5546875" style="24" customWidth="1"/>
    <col min="3591" max="3591" width="68.44140625" style="24" customWidth="1"/>
    <col min="3592" max="3593" width="10.109375" style="24" bestFit="1" customWidth="1"/>
    <col min="3594" max="3594" width="10.109375" style="24" customWidth="1"/>
    <col min="3595" max="3595" width="28.5546875" style="24" customWidth="1"/>
    <col min="3596" max="3596" width="32" style="24" customWidth="1"/>
    <col min="3597" max="3597" width="15" style="24" customWidth="1"/>
    <col min="3598" max="3845" width="9.109375" style="24"/>
    <col min="3846" max="3846" width="20.5546875" style="24" customWidth="1"/>
    <col min="3847" max="3847" width="68.44140625" style="24" customWidth="1"/>
    <col min="3848" max="3849" width="10.109375" style="24" bestFit="1" customWidth="1"/>
    <col min="3850" max="3850" width="10.109375" style="24" customWidth="1"/>
    <col min="3851" max="3851" width="28.5546875" style="24" customWidth="1"/>
    <col min="3852" max="3852" width="32" style="24" customWidth="1"/>
    <col min="3853" max="3853" width="15" style="24" customWidth="1"/>
    <col min="3854" max="4101" width="9.109375" style="24"/>
    <col min="4102" max="4102" width="20.5546875" style="24" customWidth="1"/>
    <col min="4103" max="4103" width="68.44140625" style="24" customWidth="1"/>
    <col min="4104" max="4105" width="10.109375" style="24" bestFit="1" customWidth="1"/>
    <col min="4106" max="4106" width="10.109375" style="24" customWidth="1"/>
    <col min="4107" max="4107" width="28.5546875" style="24" customWidth="1"/>
    <col min="4108" max="4108" width="32" style="24" customWidth="1"/>
    <col min="4109" max="4109" width="15" style="24" customWidth="1"/>
    <col min="4110" max="4357" width="9.109375" style="24"/>
    <col min="4358" max="4358" width="20.5546875" style="24" customWidth="1"/>
    <col min="4359" max="4359" width="68.44140625" style="24" customWidth="1"/>
    <col min="4360" max="4361" width="10.109375" style="24" bestFit="1" customWidth="1"/>
    <col min="4362" max="4362" width="10.109375" style="24" customWidth="1"/>
    <col min="4363" max="4363" width="28.5546875" style="24" customWidth="1"/>
    <col min="4364" max="4364" width="32" style="24" customWidth="1"/>
    <col min="4365" max="4365" width="15" style="24" customWidth="1"/>
    <col min="4366" max="4613" width="9.109375" style="24"/>
    <col min="4614" max="4614" width="20.5546875" style="24" customWidth="1"/>
    <col min="4615" max="4615" width="68.44140625" style="24" customWidth="1"/>
    <col min="4616" max="4617" width="10.109375" style="24" bestFit="1" customWidth="1"/>
    <col min="4618" max="4618" width="10.109375" style="24" customWidth="1"/>
    <col min="4619" max="4619" width="28.5546875" style="24" customWidth="1"/>
    <col min="4620" max="4620" width="32" style="24" customWidth="1"/>
    <col min="4621" max="4621" width="15" style="24" customWidth="1"/>
    <col min="4622" max="4869" width="9.109375" style="24"/>
    <col min="4870" max="4870" width="20.5546875" style="24" customWidth="1"/>
    <col min="4871" max="4871" width="68.44140625" style="24" customWidth="1"/>
    <col min="4872" max="4873" width="10.109375" style="24" bestFit="1" customWidth="1"/>
    <col min="4874" max="4874" width="10.109375" style="24" customWidth="1"/>
    <col min="4875" max="4875" width="28.5546875" style="24" customWidth="1"/>
    <col min="4876" max="4876" width="32" style="24" customWidth="1"/>
    <col min="4877" max="4877" width="15" style="24" customWidth="1"/>
    <col min="4878" max="5125" width="9.109375" style="24"/>
    <col min="5126" max="5126" width="20.5546875" style="24" customWidth="1"/>
    <col min="5127" max="5127" width="68.44140625" style="24" customWidth="1"/>
    <col min="5128" max="5129" width="10.109375" style="24" bestFit="1" customWidth="1"/>
    <col min="5130" max="5130" width="10.109375" style="24" customWidth="1"/>
    <col min="5131" max="5131" width="28.5546875" style="24" customWidth="1"/>
    <col min="5132" max="5132" width="32" style="24" customWidth="1"/>
    <col min="5133" max="5133" width="15" style="24" customWidth="1"/>
    <col min="5134" max="5381" width="9.109375" style="24"/>
    <col min="5382" max="5382" width="20.5546875" style="24" customWidth="1"/>
    <col min="5383" max="5383" width="68.44140625" style="24" customWidth="1"/>
    <col min="5384" max="5385" width="10.109375" style="24" bestFit="1" customWidth="1"/>
    <col min="5386" max="5386" width="10.109375" style="24" customWidth="1"/>
    <col min="5387" max="5387" width="28.5546875" style="24" customWidth="1"/>
    <col min="5388" max="5388" width="32" style="24" customWidth="1"/>
    <col min="5389" max="5389" width="15" style="24" customWidth="1"/>
    <col min="5390" max="5637" width="9.109375" style="24"/>
    <col min="5638" max="5638" width="20.5546875" style="24" customWidth="1"/>
    <col min="5639" max="5639" width="68.44140625" style="24" customWidth="1"/>
    <col min="5640" max="5641" width="10.109375" style="24" bestFit="1" customWidth="1"/>
    <col min="5642" max="5642" width="10.109375" style="24" customWidth="1"/>
    <col min="5643" max="5643" width="28.5546875" style="24" customWidth="1"/>
    <col min="5644" max="5644" width="32" style="24" customWidth="1"/>
    <col min="5645" max="5645" width="15" style="24" customWidth="1"/>
    <col min="5646" max="5893" width="9.109375" style="24"/>
    <col min="5894" max="5894" width="20.5546875" style="24" customWidth="1"/>
    <col min="5895" max="5895" width="68.44140625" style="24" customWidth="1"/>
    <col min="5896" max="5897" width="10.109375" style="24" bestFit="1" customWidth="1"/>
    <col min="5898" max="5898" width="10.109375" style="24" customWidth="1"/>
    <col min="5899" max="5899" width="28.5546875" style="24" customWidth="1"/>
    <col min="5900" max="5900" width="32" style="24" customWidth="1"/>
    <col min="5901" max="5901" width="15" style="24" customWidth="1"/>
    <col min="5902" max="6149" width="9.109375" style="24"/>
    <col min="6150" max="6150" width="20.5546875" style="24" customWidth="1"/>
    <col min="6151" max="6151" width="68.44140625" style="24" customWidth="1"/>
    <col min="6152" max="6153" width="10.109375" style="24" bestFit="1" customWidth="1"/>
    <col min="6154" max="6154" width="10.109375" style="24" customWidth="1"/>
    <col min="6155" max="6155" width="28.5546875" style="24" customWidth="1"/>
    <col min="6156" max="6156" width="32" style="24" customWidth="1"/>
    <col min="6157" max="6157" width="15" style="24" customWidth="1"/>
    <col min="6158" max="6405" width="9.109375" style="24"/>
    <col min="6406" max="6406" width="20.5546875" style="24" customWidth="1"/>
    <col min="6407" max="6407" width="68.44140625" style="24" customWidth="1"/>
    <col min="6408" max="6409" width="10.109375" style="24" bestFit="1" customWidth="1"/>
    <col min="6410" max="6410" width="10.109375" style="24" customWidth="1"/>
    <col min="6411" max="6411" width="28.5546875" style="24" customWidth="1"/>
    <col min="6412" max="6412" width="32" style="24" customWidth="1"/>
    <col min="6413" max="6413" width="15" style="24" customWidth="1"/>
    <col min="6414" max="6661" width="9.109375" style="24"/>
    <col min="6662" max="6662" width="20.5546875" style="24" customWidth="1"/>
    <col min="6663" max="6663" width="68.44140625" style="24" customWidth="1"/>
    <col min="6664" max="6665" width="10.109375" style="24" bestFit="1" customWidth="1"/>
    <col min="6666" max="6666" width="10.109375" style="24" customWidth="1"/>
    <col min="6667" max="6667" width="28.5546875" style="24" customWidth="1"/>
    <col min="6668" max="6668" width="32" style="24" customWidth="1"/>
    <col min="6669" max="6669" width="15" style="24" customWidth="1"/>
    <col min="6670" max="6917" width="9.109375" style="24"/>
    <col min="6918" max="6918" width="20.5546875" style="24" customWidth="1"/>
    <col min="6919" max="6919" width="68.44140625" style="24" customWidth="1"/>
    <col min="6920" max="6921" width="10.109375" style="24" bestFit="1" customWidth="1"/>
    <col min="6922" max="6922" width="10.109375" style="24" customWidth="1"/>
    <col min="6923" max="6923" width="28.5546875" style="24" customWidth="1"/>
    <col min="6924" max="6924" width="32" style="24" customWidth="1"/>
    <col min="6925" max="6925" width="15" style="24" customWidth="1"/>
    <col min="6926" max="7173" width="9.109375" style="24"/>
    <col min="7174" max="7174" width="20.5546875" style="24" customWidth="1"/>
    <col min="7175" max="7175" width="68.44140625" style="24" customWidth="1"/>
    <col min="7176" max="7177" width="10.109375" style="24" bestFit="1" customWidth="1"/>
    <col min="7178" max="7178" width="10.109375" style="24" customWidth="1"/>
    <col min="7179" max="7179" width="28.5546875" style="24" customWidth="1"/>
    <col min="7180" max="7180" width="32" style="24" customWidth="1"/>
    <col min="7181" max="7181" width="15" style="24" customWidth="1"/>
    <col min="7182" max="7429" width="9.109375" style="24"/>
    <col min="7430" max="7430" width="20.5546875" style="24" customWidth="1"/>
    <col min="7431" max="7431" width="68.44140625" style="24" customWidth="1"/>
    <col min="7432" max="7433" width="10.109375" style="24" bestFit="1" customWidth="1"/>
    <col min="7434" max="7434" width="10.109375" style="24" customWidth="1"/>
    <col min="7435" max="7435" width="28.5546875" style="24" customWidth="1"/>
    <col min="7436" max="7436" width="32" style="24" customWidth="1"/>
    <col min="7437" max="7437" width="15" style="24" customWidth="1"/>
    <col min="7438" max="7685" width="9.109375" style="24"/>
    <col min="7686" max="7686" width="20.5546875" style="24" customWidth="1"/>
    <col min="7687" max="7687" width="68.44140625" style="24" customWidth="1"/>
    <col min="7688" max="7689" width="10.109375" style="24" bestFit="1" customWidth="1"/>
    <col min="7690" max="7690" width="10.109375" style="24" customWidth="1"/>
    <col min="7691" max="7691" width="28.5546875" style="24" customWidth="1"/>
    <col min="7692" max="7692" width="32" style="24" customWidth="1"/>
    <col min="7693" max="7693" width="15" style="24" customWidth="1"/>
    <col min="7694" max="7941" width="9.109375" style="24"/>
    <col min="7942" max="7942" width="20.5546875" style="24" customWidth="1"/>
    <col min="7943" max="7943" width="68.44140625" style="24" customWidth="1"/>
    <col min="7944" max="7945" width="10.109375" style="24" bestFit="1" customWidth="1"/>
    <col min="7946" max="7946" width="10.109375" style="24" customWidth="1"/>
    <col min="7947" max="7947" width="28.5546875" style="24" customWidth="1"/>
    <col min="7948" max="7948" width="32" style="24" customWidth="1"/>
    <col min="7949" max="7949" width="15" style="24" customWidth="1"/>
    <col min="7950" max="8197" width="9.109375" style="24"/>
    <col min="8198" max="8198" width="20.5546875" style="24" customWidth="1"/>
    <col min="8199" max="8199" width="68.44140625" style="24" customWidth="1"/>
    <col min="8200" max="8201" width="10.109375" style="24" bestFit="1" customWidth="1"/>
    <col min="8202" max="8202" width="10.109375" style="24" customWidth="1"/>
    <col min="8203" max="8203" width="28.5546875" style="24" customWidth="1"/>
    <col min="8204" max="8204" width="32" style="24" customWidth="1"/>
    <col min="8205" max="8205" width="15" style="24" customWidth="1"/>
    <col min="8206" max="8453" width="9.109375" style="24"/>
    <col min="8454" max="8454" width="20.5546875" style="24" customWidth="1"/>
    <col min="8455" max="8455" width="68.44140625" style="24" customWidth="1"/>
    <col min="8456" max="8457" width="10.109375" style="24" bestFit="1" customWidth="1"/>
    <col min="8458" max="8458" width="10.109375" style="24" customWidth="1"/>
    <col min="8459" max="8459" width="28.5546875" style="24" customWidth="1"/>
    <col min="8460" max="8460" width="32" style="24" customWidth="1"/>
    <col min="8461" max="8461" width="15" style="24" customWidth="1"/>
    <col min="8462" max="8709" width="9.109375" style="24"/>
    <col min="8710" max="8710" width="20.5546875" style="24" customWidth="1"/>
    <col min="8711" max="8711" width="68.44140625" style="24" customWidth="1"/>
    <col min="8712" max="8713" width="10.109375" style="24" bestFit="1" customWidth="1"/>
    <col min="8714" max="8714" width="10.109375" style="24" customWidth="1"/>
    <col min="8715" max="8715" width="28.5546875" style="24" customWidth="1"/>
    <col min="8716" max="8716" width="32" style="24" customWidth="1"/>
    <col min="8717" max="8717" width="15" style="24" customWidth="1"/>
    <col min="8718" max="8965" width="9.109375" style="24"/>
    <col min="8966" max="8966" width="20.5546875" style="24" customWidth="1"/>
    <col min="8967" max="8967" width="68.44140625" style="24" customWidth="1"/>
    <col min="8968" max="8969" width="10.109375" style="24" bestFit="1" customWidth="1"/>
    <col min="8970" max="8970" width="10.109375" style="24" customWidth="1"/>
    <col min="8971" max="8971" width="28.5546875" style="24" customWidth="1"/>
    <col min="8972" max="8972" width="32" style="24" customWidth="1"/>
    <col min="8973" max="8973" width="15" style="24" customWidth="1"/>
    <col min="8974" max="9221" width="9.109375" style="24"/>
    <col min="9222" max="9222" width="20.5546875" style="24" customWidth="1"/>
    <col min="9223" max="9223" width="68.44140625" style="24" customWidth="1"/>
    <col min="9224" max="9225" width="10.109375" style="24" bestFit="1" customWidth="1"/>
    <col min="9226" max="9226" width="10.109375" style="24" customWidth="1"/>
    <col min="9227" max="9227" width="28.5546875" style="24" customWidth="1"/>
    <col min="9228" max="9228" width="32" style="24" customWidth="1"/>
    <col min="9229" max="9229" width="15" style="24" customWidth="1"/>
    <col min="9230" max="9477" width="9.109375" style="24"/>
    <col min="9478" max="9478" width="20.5546875" style="24" customWidth="1"/>
    <col min="9479" max="9479" width="68.44140625" style="24" customWidth="1"/>
    <col min="9480" max="9481" width="10.109375" style="24" bestFit="1" customWidth="1"/>
    <col min="9482" max="9482" width="10.109375" style="24" customWidth="1"/>
    <col min="9483" max="9483" width="28.5546875" style="24" customWidth="1"/>
    <col min="9484" max="9484" width="32" style="24" customWidth="1"/>
    <col min="9485" max="9485" width="15" style="24" customWidth="1"/>
    <col min="9486" max="9733" width="9.109375" style="24"/>
    <col min="9734" max="9734" width="20.5546875" style="24" customWidth="1"/>
    <col min="9735" max="9735" width="68.44140625" style="24" customWidth="1"/>
    <col min="9736" max="9737" width="10.109375" style="24" bestFit="1" customWidth="1"/>
    <col min="9738" max="9738" width="10.109375" style="24" customWidth="1"/>
    <col min="9739" max="9739" width="28.5546875" style="24" customWidth="1"/>
    <col min="9740" max="9740" width="32" style="24" customWidth="1"/>
    <col min="9741" max="9741" width="15" style="24" customWidth="1"/>
    <col min="9742" max="9989" width="9.109375" style="24"/>
    <col min="9990" max="9990" width="20.5546875" style="24" customWidth="1"/>
    <col min="9991" max="9991" width="68.44140625" style="24" customWidth="1"/>
    <col min="9992" max="9993" width="10.109375" style="24" bestFit="1" customWidth="1"/>
    <col min="9994" max="9994" width="10.109375" style="24" customWidth="1"/>
    <col min="9995" max="9995" width="28.5546875" style="24" customWidth="1"/>
    <col min="9996" max="9996" width="32" style="24" customWidth="1"/>
    <col min="9997" max="9997" width="15" style="24" customWidth="1"/>
    <col min="9998" max="10245" width="9.109375" style="24"/>
    <col min="10246" max="10246" width="20.5546875" style="24" customWidth="1"/>
    <col min="10247" max="10247" width="68.44140625" style="24" customWidth="1"/>
    <col min="10248" max="10249" width="10.109375" style="24" bestFit="1" customWidth="1"/>
    <col min="10250" max="10250" width="10.109375" style="24" customWidth="1"/>
    <col min="10251" max="10251" width="28.5546875" style="24" customWidth="1"/>
    <col min="10252" max="10252" width="32" style="24" customWidth="1"/>
    <col min="10253" max="10253" width="15" style="24" customWidth="1"/>
    <col min="10254" max="10501" width="9.109375" style="24"/>
    <col min="10502" max="10502" width="20.5546875" style="24" customWidth="1"/>
    <col min="10503" max="10503" width="68.44140625" style="24" customWidth="1"/>
    <col min="10504" max="10505" width="10.109375" style="24" bestFit="1" customWidth="1"/>
    <col min="10506" max="10506" width="10.109375" style="24" customWidth="1"/>
    <col min="10507" max="10507" width="28.5546875" style="24" customWidth="1"/>
    <col min="10508" max="10508" width="32" style="24" customWidth="1"/>
    <col min="10509" max="10509" width="15" style="24" customWidth="1"/>
    <col min="10510" max="10757" width="9.109375" style="24"/>
    <col min="10758" max="10758" width="20.5546875" style="24" customWidth="1"/>
    <col min="10759" max="10759" width="68.44140625" style="24" customWidth="1"/>
    <col min="10760" max="10761" width="10.109375" style="24" bestFit="1" customWidth="1"/>
    <col min="10762" max="10762" width="10.109375" style="24" customWidth="1"/>
    <col min="10763" max="10763" width="28.5546875" style="24" customWidth="1"/>
    <col min="10764" max="10764" width="32" style="24" customWidth="1"/>
    <col min="10765" max="10765" width="15" style="24" customWidth="1"/>
    <col min="10766" max="11013" width="9.109375" style="24"/>
    <col min="11014" max="11014" width="20.5546875" style="24" customWidth="1"/>
    <col min="11015" max="11015" width="68.44140625" style="24" customWidth="1"/>
    <col min="11016" max="11017" width="10.109375" style="24" bestFit="1" customWidth="1"/>
    <col min="11018" max="11018" width="10.109375" style="24" customWidth="1"/>
    <col min="11019" max="11019" width="28.5546875" style="24" customWidth="1"/>
    <col min="11020" max="11020" width="32" style="24" customWidth="1"/>
    <col min="11021" max="11021" width="15" style="24" customWidth="1"/>
    <col min="11022" max="11269" width="9.109375" style="24"/>
    <col min="11270" max="11270" width="20.5546875" style="24" customWidth="1"/>
    <col min="11271" max="11271" width="68.44140625" style="24" customWidth="1"/>
    <col min="11272" max="11273" width="10.109375" style="24" bestFit="1" customWidth="1"/>
    <col min="11274" max="11274" width="10.109375" style="24" customWidth="1"/>
    <col min="11275" max="11275" width="28.5546875" style="24" customWidth="1"/>
    <col min="11276" max="11276" width="32" style="24" customWidth="1"/>
    <col min="11277" max="11277" width="15" style="24" customWidth="1"/>
    <col min="11278" max="11525" width="9.109375" style="24"/>
    <col min="11526" max="11526" width="20.5546875" style="24" customWidth="1"/>
    <col min="11527" max="11527" width="68.44140625" style="24" customWidth="1"/>
    <col min="11528" max="11529" width="10.109375" style="24" bestFit="1" customWidth="1"/>
    <col min="11530" max="11530" width="10.109375" style="24" customWidth="1"/>
    <col min="11531" max="11531" width="28.5546875" style="24" customWidth="1"/>
    <col min="11532" max="11532" width="32" style="24" customWidth="1"/>
    <col min="11533" max="11533" width="15" style="24" customWidth="1"/>
    <col min="11534" max="11781" width="9.109375" style="24"/>
    <col min="11782" max="11782" width="20.5546875" style="24" customWidth="1"/>
    <col min="11783" max="11783" width="68.44140625" style="24" customWidth="1"/>
    <col min="11784" max="11785" width="10.109375" style="24" bestFit="1" customWidth="1"/>
    <col min="11786" max="11786" width="10.109375" style="24" customWidth="1"/>
    <col min="11787" max="11787" width="28.5546875" style="24" customWidth="1"/>
    <col min="11788" max="11788" width="32" style="24" customWidth="1"/>
    <col min="11789" max="11789" width="15" style="24" customWidth="1"/>
    <col min="11790" max="12037" width="9.109375" style="24"/>
    <col min="12038" max="12038" width="20.5546875" style="24" customWidth="1"/>
    <col min="12039" max="12039" width="68.44140625" style="24" customWidth="1"/>
    <col min="12040" max="12041" width="10.109375" style="24" bestFit="1" customWidth="1"/>
    <col min="12042" max="12042" width="10.109375" style="24" customWidth="1"/>
    <col min="12043" max="12043" width="28.5546875" style="24" customWidth="1"/>
    <col min="12044" max="12044" width="32" style="24" customWidth="1"/>
    <col min="12045" max="12045" width="15" style="24" customWidth="1"/>
    <col min="12046" max="12293" width="9.109375" style="24"/>
    <col min="12294" max="12294" width="20.5546875" style="24" customWidth="1"/>
    <col min="12295" max="12295" width="68.44140625" style="24" customWidth="1"/>
    <col min="12296" max="12297" width="10.109375" style="24" bestFit="1" customWidth="1"/>
    <col min="12298" max="12298" width="10.109375" style="24" customWidth="1"/>
    <col min="12299" max="12299" width="28.5546875" style="24" customWidth="1"/>
    <col min="12300" max="12300" width="32" style="24" customWidth="1"/>
    <col min="12301" max="12301" width="15" style="24" customWidth="1"/>
    <col min="12302" max="12549" width="9.109375" style="24"/>
    <col min="12550" max="12550" width="20.5546875" style="24" customWidth="1"/>
    <col min="12551" max="12551" width="68.44140625" style="24" customWidth="1"/>
    <col min="12552" max="12553" width="10.109375" style="24" bestFit="1" customWidth="1"/>
    <col min="12554" max="12554" width="10.109375" style="24" customWidth="1"/>
    <col min="12555" max="12555" width="28.5546875" style="24" customWidth="1"/>
    <col min="12556" max="12556" width="32" style="24" customWidth="1"/>
    <col min="12557" max="12557" width="15" style="24" customWidth="1"/>
    <col min="12558" max="12805" width="9.109375" style="24"/>
    <col min="12806" max="12806" width="20.5546875" style="24" customWidth="1"/>
    <col min="12807" max="12807" width="68.44140625" style="24" customWidth="1"/>
    <col min="12808" max="12809" width="10.109375" style="24" bestFit="1" customWidth="1"/>
    <col min="12810" max="12810" width="10.109375" style="24" customWidth="1"/>
    <col min="12811" max="12811" width="28.5546875" style="24" customWidth="1"/>
    <col min="12812" max="12812" width="32" style="24" customWidth="1"/>
    <col min="12813" max="12813" width="15" style="24" customWidth="1"/>
    <col min="12814" max="13061" width="9.109375" style="24"/>
    <col min="13062" max="13062" width="20.5546875" style="24" customWidth="1"/>
    <col min="13063" max="13063" width="68.44140625" style="24" customWidth="1"/>
    <col min="13064" max="13065" width="10.109375" style="24" bestFit="1" customWidth="1"/>
    <col min="13066" max="13066" width="10.109375" style="24" customWidth="1"/>
    <col min="13067" max="13067" width="28.5546875" style="24" customWidth="1"/>
    <col min="13068" max="13068" width="32" style="24" customWidth="1"/>
    <col min="13069" max="13069" width="15" style="24" customWidth="1"/>
    <col min="13070" max="13317" width="9.109375" style="24"/>
    <col min="13318" max="13318" width="20.5546875" style="24" customWidth="1"/>
    <col min="13319" max="13319" width="68.44140625" style="24" customWidth="1"/>
    <col min="13320" max="13321" width="10.109375" style="24" bestFit="1" customWidth="1"/>
    <col min="13322" max="13322" width="10.109375" style="24" customWidth="1"/>
    <col min="13323" max="13323" width="28.5546875" style="24" customWidth="1"/>
    <col min="13324" max="13324" width="32" style="24" customWidth="1"/>
    <col min="13325" max="13325" width="15" style="24" customWidth="1"/>
    <col min="13326" max="13573" width="9.109375" style="24"/>
    <col min="13574" max="13574" width="20.5546875" style="24" customWidth="1"/>
    <col min="13575" max="13575" width="68.44140625" style="24" customWidth="1"/>
    <col min="13576" max="13577" width="10.109375" style="24" bestFit="1" customWidth="1"/>
    <col min="13578" max="13578" width="10.109375" style="24" customWidth="1"/>
    <col min="13579" max="13579" width="28.5546875" style="24" customWidth="1"/>
    <col min="13580" max="13580" width="32" style="24" customWidth="1"/>
    <col min="13581" max="13581" width="15" style="24" customWidth="1"/>
    <col min="13582" max="13829" width="9.109375" style="24"/>
    <col min="13830" max="13830" width="20.5546875" style="24" customWidth="1"/>
    <col min="13831" max="13831" width="68.44140625" style="24" customWidth="1"/>
    <col min="13832" max="13833" width="10.109375" style="24" bestFit="1" customWidth="1"/>
    <col min="13834" max="13834" width="10.109375" style="24" customWidth="1"/>
    <col min="13835" max="13835" width="28.5546875" style="24" customWidth="1"/>
    <col min="13836" max="13836" width="32" style="24" customWidth="1"/>
    <col min="13837" max="13837" width="15" style="24" customWidth="1"/>
    <col min="13838" max="14085" width="9.109375" style="24"/>
    <col min="14086" max="14086" width="20.5546875" style="24" customWidth="1"/>
    <col min="14087" max="14087" width="68.44140625" style="24" customWidth="1"/>
    <col min="14088" max="14089" width="10.109375" style="24" bestFit="1" customWidth="1"/>
    <col min="14090" max="14090" width="10.109375" style="24" customWidth="1"/>
    <col min="14091" max="14091" width="28.5546875" style="24" customWidth="1"/>
    <col min="14092" max="14092" width="32" style="24" customWidth="1"/>
    <col min="14093" max="14093" width="15" style="24" customWidth="1"/>
    <col min="14094" max="14341" width="9.109375" style="24"/>
    <col min="14342" max="14342" width="20.5546875" style="24" customWidth="1"/>
    <col min="14343" max="14343" width="68.44140625" style="24" customWidth="1"/>
    <col min="14344" max="14345" width="10.109375" style="24" bestFit="1" customWidth="1"/>
    <col min="14346" max="14346" width="10.109375" style="24" customWidth="1"/>
    <col min="14347" max="14347" width="28.5546875" style="24" customWidth="1"/>
    <col min="14348" max="14348" width="32" style="24" customWidth="1"/>
    <col min="14349" max="14349" width="15" style="24" customWidth="1"/>
    <col min="14350" max="14597" width="9.109375" style="24"/>
    <col min="14598" max="14598" width="20.5546875" style="24" customWidth="1"/>
    <col min="14599" max="14599" width="68.44140625" style="24" customWidth="1"/>
    <col min="14600" max="14601" width="10.109375" style="24" bestFit="1" customWidth="1"/>
    <col min="14602" max="14602" width="10.109375" style="24" customWidth="1"/>
    <col min="14603" max="14603" width="28.5546875" style="24" customWidth="1"/>
    <col min="14604" max="14604" width="32" style="24" customWidth="1"/>
    <col min="14605" max="14605" width="15" style="24" customWidth="1"/>
    <col min="14606" max="14853" width="9.109375" style="24"/>
    <col min="14854" max="14854" width="20.5546875" style="24" customWidth="1"/>
    <col min="14855" max="14855" width="68.44140625" style="24" customWidth="1"/>
    <col min="14856" max="14857" width="10.109375" style="24" bestFit="1" customWidth="1"/>
    <col min="14858" max="14858" width="10.109375" style="24" customWidth="1"/>
    <col min="14859" max="14859" width="28.5546875" style="24" customWidth="1"/>
    <col min="14860" max="14860" width="32" style="24" customWidth="1"/>
    <col min="14861" max="14861" width="15" style="24" customWidth="1"/>
    <col min="14862" max="15109" width="9.109375" style="24"/>
    <col min="15110" max="15110" width="20.5546875" style="24" customWidth="1"/>
    <col min="15111" max="15111" width="68.44140625" style="24" customWidth="1"/>
    <col min="15112" max="15113" width="10.109375" style="24" bestFit="1" customWidth="1"/>
    <col min="15114" max="15114" width="10.109375" style="24" customWidth="1"/>
    <col min="15115" max="15115" width="28.5546875" style="24" customWidth="1"/>
    <col min="15116" max="15116" width="32" style="24" customWidth="1"/>
    <col min="15117" max="15117" width="15" style="24" customWidth="1"/>
    <col min="15118" max="15365" width="9.109375" style="24"/>
    <col min="15366" max="15366" width="20.5546875" style="24" customWidth="1"/>
    <col min="15367" max="15367" width="68.44140625" style="24" customWidth="1"/>
    <col min="15368" max="15369" width="10.109375" style="24" bestFit="1" customWidth="1"/>
    <col min="15370" max="15370" width="10.109375" style="24" customWidth="1"/>
    <col min="15371" max="15371" width="28.5546875" style="24" customWidth="1"/>
    <col min="15372" max="15372" width="32" style="24" customWidth="1"/>
    <col min="15373" max="15373" width="15" style="24" customWidth="1"/>
    <col min="15374" max="15621" width="9.109375" style="24"/>
    <col min="15622" max="15622" width="20.5546875" style="24" customWidth="1"/>
    <col min="15623" max="15623" width="68.44140625" style="24" customWidth="1"/>
    <col min="15624" max="15625" width="10.109375" style="24" bestFit="1" customWidth="1"/>
    <col min="15626" max="15626" width="10.109375" style="24" customWidth="1"/>
    <col min="15627" max="15627" width="28.5546875" style="24" customWidth="1"/>
    <col min="15628" max="15628" width="32" style="24" customWidth="1"/>
    <col min="15629" max="15629" width="15" style="24" customWidth="1"/>
    <col min="15630" max="15877" width="9.109375" style="24"/>
    <col min="15878" max="15878" width="20.5546875" style="24" customWidth="1"/>
    <col min="15879" max="15879" width="68.44140625" style="24" customWidth="1"/>
    <col min="15880" max="15881" width="10.109375" style="24" bestFit="1" customWidth="1"/>
    <col min="15882" max="15882" width="10.109375" style="24" customWidth="1"/>
    <col min="15883" max="15883" width="28.5546875" style="24" customWidth="1"/>
    <col min="15884" max="15884" width="32" style="24" customWidth="1"/>
    <col min="15885" max="15885" width="15" style="24" customWidth="1"/>
    <col min="15886" max="16133" width="9.109375" style="24"/>
    <col min="16134" max="16134" width="20.5546875" style="24" customWidth="1"/>
    <col min="16135" max="16135" width="68.44140625" style="24" customWidth="1"/>
    <col min="16136" max="16137" width="10.109375" style="24" bestFit="1" customWidth="1"/>
    <col min="16138" max="16138" width="10.109375" style="24" customWidth="1"/>
    <col min="16139" max="16139" width="28.5546875" style="24" customWidth="1"/>
    <col min="16140" max="16140" width="32" style="24" customWidth="1"/>
    <col min="16141" max="16141" width="15" style="24" customWidth="1"/>
    <col min="16142" max="16384" width="9.109375" style="24"/>
  </cols>
  <sheetData>
    <row r="1" spans="1:14" ht="13.8">
      <c r="C1" s="27"/>
      <c r="D1" s="27"/>
      <c r="E1" s="27"/>
    </row>
    <row r="2" spans="1:14" ht="30" customHeight="1">
      <c r="A2" s="28"/>
      <c r="C2" s="27"/>
      <c r="D2" s="38"/>
      <c r="E2" s="38"/>
    </row>
    <row r="3" spans="1:14" ht="13.8">
      <c r="A3" s="29"/>
    </row>
    <row r="4" spans="1:14" ht="13.8">
      <c r="A4" s="29"/>
    </row>
    <row r="5" spans="1:14" ht="15" customHeight="1">
      <c r="A5" s="263" t="s">
        <v>378</v>
      </c>
      <c r="B5" s="263"/>
      <c r="C5" s="263"/>
      <c r="D5" s="37"/>
      <c r="E5" s="37"/>
    </row>
    <row r="6" spans="1:14" ht="14.4" thickBot="1">
      <c r="A6" s="30"/>
      <c r="L6" s="261"/>
      <c r="M6" s="262"/>
      <c r="N6" s="262"/>
    </row>
    <row r="7" spans="1:14" ht="28.2" thickBot="1">
      <c r="A7" s="31" t="s">
        <v>379</v>
      </c>
      <c r="B7" s="32" t="s">
        <v>380</v>
      </c>
      <c r="C7" s="32" t="s">
        <v>386</v>
      </c>
      <c r="D7" s="41"/>
      <c r="E7" s="24">
        <f ca="1">COUNTBLANK(A8:A739)</f>
        <v>105</v>
      </c>
      <c r="F7"/>
      <c r="G7"/>
      <c r="H7" s="23">
        <f>Input_calc!E23*I7</f>
        <v>169500</v>
      </c>
      <c r="I7" s="23">
        <f>Input!B16</f>
        <v>11300000</v>
      </c>
      <c r="J7" s="35"/>
      <c r="K7" s="35"/>
      <c r="L7" s="261"/>
      <c r="M7" s="33"/>
      <c r="N7" s="34"/>
    </row>
    <row r="8" spans="1:14" ht="15.75" customHeight="1" thickBot="1">
      <c r="A8" s="237">
        <f>VALUE(Input!B4)</f>
        <v>46280</v>
      </c>
      <c r="B8" s="238">
        <f ca="1">ROUND(G8,0)</f>
        <v>55697</v>
      </c>
      <c r="C8" s="238">
        <f>IF(end=2,IF(D8&lt;24,0,I8),I8)</f>
        <v>0</v>
      </c>
      <c r="D8" s="155">
        <v>0</v>
      </c>
      <c r="E8" s="209">
        <f t="shared" ref="E8:E71" si="0">MOD(J8,12)</f>
        <v>0</v>
      </c>
      <c r="F8" s="10">
        <f>A8</f>
        <v>46280</v>
      </c>
      <c r="G8" s="156">
        <f ca="1">IF(A8&lt;d_begin,0,Ben)</f>
        <v>55697</v>
      </c>
      <c r="H8" s="156">
        <f ca="1">SUM($G$8:G8)*gamma</f>
        <v>1670.9099999999999</v>
      </c>
      <c r="I8" s="23">
        <f ca="1">MAX(0,ROUND($I$7-$H$7-H8-SUM($G$8:G8),0))</f>
        <v>11073132</v>
      </c>
      <c r="J8" s="208">
        <f t="shared" ref="J8:J71" si="1">IF(G7&gt;0,1+J7,0)</f>
        <v>0</v>
      </c>
      <c r="K8" s="43"/>
    </row>
    <row r="9" spans="1:14" ht="15.75" customHeight="1" thickBot="1">
      <c r="A9" s="237">
        <f t="shared" ref="A9:A72" ca="1" si="2">IF(d_plast&gt;=F9,F9,"")</f>
        <v>46310</v>
      </c>
      <c r="B9" s="238">
        <f t="shared" ref="B9:B72" ca="1" si="3">IF(A9="","",ROUND(G9,0))</f>
        <v>55697</v>
      </c>
      <c r="C9" s="238">
        <f t="shared" ref="C9:C72" ca="1" si="4">IF(A9&lt;&gt;"",IF(end=2,IF(D9&lt;24,0,I9),I9),"")</f>
        <v>0</v>
      </c>
      <c r="D9" s="155">
        <f t="shared" ref="D9:D72" ca="1" si="5">D8+freq_2</f>
        <v>1</v>
      </c>
      <c r="E9" s="209">
        <f t="shared" ca="1" si="0"/>
        <v>1</v>
      </c>
      <c r="F9" s="10">
        <f t="shared" ref="F9:F72" ca="1" si="6">EDATE($F$8,D9)</f>
        <v>46310</v>
      </c>
      <c r="G9" s="156">
        <f t="shared" ref="G9:G72" ca="1" si="7">IF(A9&lt;d_begin,0,IF(G8=0,Ben,IF(E9=0,G8*(1+index),G8)))</f>
        <v>55697</v>
      </c>
      <c r="H9" s="156">
        <f ca="1">SUM($G$8:G9)*gamma</f>
        <v>3341.8199999999997</v>
      </c>
      <c r="I9" s="23">
        <f ca="1">MAX(0,ROUND($I$7-$H$7-H9-SUM($G$8:G9),0))</f>
        <v>11015764</v>
      </c>
      <c r="J9" s="208">
        <f t="shared" ca="1" si="1"/>
        <v>1</v>
      </c>
      <c r="K9" s="43"/>
    </row>
    <row r="10" spans="1:14" ht="15.75" customHeight="1" thickBot="1">
      <c r="A10" s="237">
        <f t="shared" ca="1" si="2"/>
        <v>46341</v>
      </c>
      <c r="B10" s="238">
        <f t="shared" ca="1" si="3"/>
        <v>55697</v>
      </c>
      <c r="C10" s="238">
        <f t="shared" ca="1" si="4"/>
        <v>0</v>
      </c>
      <c r="D10" s="155">
        <f t="shared" ca="1" si="5"/>
        <v>2</v>
      </c>
      <c r="E10" s="209">
        <f t="shared" ca="1" si="0"/>
        <v>2</v>
      </c>
      <c r="F10" s="10">
        <f t="shared" ca="1" si="6"/>
        <v>46341</v>
      </c>
      <c r="G10" s="156">
        <f t="shared" ca="1" si="7"/>
        <v>55697</v>
      </c>
      <c r="H10" s="156">
        <f ca="1">SUM($G$8:G10)*gamma</f>
        <v>5012.7299999999996</v>
      </c>
      <c r="I10" s="23">
        <f ca="1">MAX(0,ROUND($I$7-$H$7-H10-SUM($G$8:G10),0))</f>
        <v>10958396</v>
      </c>
      <c r="J10" s="208">
        <f t="shared" ca="1" si="1"/>
        <v>2</v>
      </c>
      <c r="K10" s="43"/>
    </row>
    <row r="11" spans="1:14" ht="15.75" customHeight="1" thickBot="1">
      <c r="A11" s="237">
        <f t="shared" ca="1" si="2"/>
        <v>46371</v>
      </c>
      <c r="B11" s="238">
        <f t="shared" ca="1" si="3"/>
        <v>55697</v>
      </c>
      <c r="C11" s="238">
        <f t="shared" ca="1" si="4"/>
        <v>0</v>
      </c>
      <c r="D11" s="155">
        <f t="shared" ca="1" si="5"/>
        <v>3</v>
      </c>
      <c r="E11" s="209">
        <f t="shared" ca="1" si="0"/>
        <v>3</v>
      </c>
      <c r="F11" s="10">
        <f t="shared" ca="1" si="6"/>
        <v>46371</v>
      </c>
      <c r="G11" s="156">
        <f t="shared" ca="1" si="7"/>
        <v>55697</v>
      </c>
      <c r="H11" s="156">
        <f ca="1">SUM($G$8:G11)*gamma</f>
        <v>6683.6399999999994</v>
      </c>
      <c r="I11" s="23">
        <f ca="1">MAX(0,ROUND($I$7-$H$7-H11-SUM($G$8:G11),0))</f>
        <v>10901028</v>
      </c>
      <c r="J11" s="208">
        <f t="shared" ca="1" si="1"/>
        <v>3</v>
      </c>
      <c r="K11" s="43"/>
    </row>
    <row r="12" spans="1:14" ht="15.75" customHeight="1" thickBot="1">
      <c r="A12" s="237">
        <f t="shared" ca="1" si="2"/>
        <v>46402</v>
      </c>
      <c r="B12" s="238">
        <f t="shared" ca="1" si="3"/>
        <v>55697</v>
      </c>
      <c r="C12" s="238">
        <f t="shared" ca="1" si="4"/>
        <v>0</v>
      </c>
      <c r="D12" s="155">
        <f t="shared" ca="1" si="5"/>
        <v>4</v>
      </c>
      <c r="E12" s="209">
        <f t="shared" ca="1" si="0"/>
        <v>4</v>
      </c>
      <c r="F12" s="10">
        <f t="shared" ca="1" si="6"/>
        <v>46402</v>
      </c>
      <c r="G12" s="156">
        <f t="shared" ca="1" si="7"/>
        <v>55697</v>
      </c>
      <c r="H12" s="156">
        <f ca="1">SUM($G$8:G12)*gamma</f>
        <v>8354.5499999999993</v>
      </c>
      <c r="I12" s="23">
        <f ca="1">MAX(0,ROUND($I$7-$H$7-H12-SUM($G$8:G12),0))</f>
        <v>10843660</v>
      </c>
      <c r="J12" s="208">
        <f t="shared" ca="1" si="1"/>
        <v>4</v>
      </c>
      <c r="K12" s="43"/>
    </row>
    <row r="13" spans="1:14" ht="15.75" customHeight="1" thickBot="1">
      <c r="A13" s="237">
        <f t="shared" ca="1" si="2"/>
        <v>46433</v>
      </c>
      <c r="B13" s="238">
        <f t="shared" ca="1" si="3"/>
        <v>55697</v>
      </c>
      <c r="C13" s="238">
        <f t="shared" ca="1" si="4"/>
        <v>0</v>
      </c>
      <c r="D13" s="155">
        <f t="shared" ca="1" si="5"/>
        <v>5</v>
      </c>
      <c r="E13" s="209">
        <f t="shared" ca="1" si="0"/>
        <v>5</v>
      </c>
      <c r="F13" s="10">
        <f t="shared" ca="1" si="6"/>
        <v>46433</v>
      </c>
      <c r="G13" s="156">
        <f t="shared" ca="1" si="7"/>
        <v>55697</v>
      </c>
      <c r="H13" s="156">
        <f ca="1">SUM($G$8:G13)*gamma</f>
        <v>10025.459999999999</v>
      </c>
      <c r="I13" s="23">
        <f ca="1">MAX(0,ROUND($I$7-$H$7-H13-SUM($G$8:G13),0))</f>
        <v>10786293</v>
      </c>
      <c r="J13" s="208">
        <f t="shared" ca="1" si="1"/>
        <v>5</v>
      </c>
      <c r="K13" s="43"/>
    </row>
    <row r="14" spans="1:14" ht="15.75" customHeight="1" thickBot="1">
      <c r="A14" s="237">
        <f t="shared" ca="1" si="2"/>
        <v>46461</v>
      </c>
      <c r="B14" s="238">
        <f t="shared" ca="1" si="3"/>
        <v>55697</v>
      </c>
      <c r="C14" s="238">
        <f t="shared" ca="1" si="4"/>
        <v>0</v>
      </c>
      <c r="D14" s="155">
        <f t="shared" ca="1" si="5"/>
        <v>6</v>
      </c>
      <c r="E14" s="209">
        <f t="shared" ca="1" si="0"/>
        <v>6</v>
      </c>
      <c r="F14" s="10">
        <f t="shared" ca="1" si="6"/>
        <v>46461</v>
      </c>
      <c r="G14" s="156">
        <f t="shared" ca="1" si="7"/>
        <v>55697</v>
      </c>
      <c r="H14" s="156">
        <f ca="1">SUM($G$8:G14)*gamma</f>
        <v>11696.369999999999</v>
      </c>
      <c r="I14" s="23">
        <f ca="1">MAX(0,ROUND($I$7-$H$7-H14-SUM($G$8:G14),0))</f>
        <v>10728925</v>
      </c>
      <c r="J14" s="208">
        <f t="shared" ca="1" si="1"/>
        <v>6</v>
      </c>
      <c r="K14" s="43"/>
    </row>
    <row r="15" spans="1:14" ht="15.75" customHeight="1" thickBot="1">
      <c r="A15" s="237">
        <f t="shared" ca="1" si="2"/>
        <v>46492</v>
      </c>
      <c r="B15" s="238">
        <f t="shared" ca="1" si="3"/>
        <v>55697</v>
      </c>
      <c r="C15" s="238">
        <f t="shared" ca="1" si="4"/>
        <v>0</v>
      </c>
      <c r="D15" s="155">
        <f t="shared" ca="1" si="5"/>
        <v>7</v>
      </c>
      <c r="E15" s="209">
        <f t="shared" ca="1" si="0"/>
        <v>7</v>
      </c>
      <c r="F15" s="10">
        <f t="shared" ca="1" si="6"/>
        <v>46492</v>
      </c>
      <c r="G15" s="156">
        <f t="shared" ca="1" si="7"/>
        <v>55697</v>
      </c>
      <c r="H15" s="156">
        <f ca="1">SUM($G$8:G15)*gamma</f>
        <v>13367.279999999999</v>
      </c>
      <c r="I15" s="23">
        <f ca="1">MAX(0,ROUND($I$7-$H$7-H15-SUM($G$8:G15),0))</f>
        <v>10671557</v>
      </c>
      <c r="J15" s="208">
        <f t="shared" ca="1" si="1"/>
        <v>7</v>
      </c>
      <c r="K15" s="43"/>
    </row>
    <row r="16" spans="1:14" ht="15.75" customHeight="1" thickBot="1">
      <c r="A16" s="237">
        <f t="shared" ca="1" si="2"/>
        <v>46522</v>
      </c>
      <c r="B16" s="238">
        <f t="shared" ca="1" si="3"/>
        <v>55697</v>
      </c>
      <c r="C16" s="238">
        <f t="shared" ca="1" si="4"/>
        <v>0</v>
      </c>
      <c r="D16" s="155">
        <f t="shared" ca="1" si="5"/>
        <v>8</v>
      </c>
      <c r="E16" s="209">
        <f t="shared" ca="1" si="0"/>
        <v>8</v>
      </c>
      <c r="F16" s="10">
        <f t="shared" ca="1" si="6"/>
        <v>46522</v>
      </c>
      <c r="G16" s="156">
        <f t="shared" ca="1" si="7"/>
        <v>55697</v>
      </c>
      <c r="H16" s="156">
        <f ca="1">SUM($G$8:G16)*gamma</f>
        <v>15038.189999999999</v>
      </c>
      <c r="I16" s="23">
        <f ca="1">MAX(0,ROUND($I$7-$H$7-H16-SUM($G$8:G16),0))</f>
        <v>10614189</v>
      </c>
      <c r="J16" s="208">
        <f t="shared" ca="1" si="1"/>
        <v>8</v>
      </c>
      <c r="K16" s="43"/>
    </row>
    <row r="17" spans="1:11" ht="15.75" customHeight="1" thickBot="1">
      <c r="A17" s="237">
        <f t="shared" ca="1" si="2"/>
        <v>46553</v>
      </c>
      <c r="B17" s="238">
        <f t="shared" ca="1" si="3"/>
        <v>55697</v>
      </c>
      <c r="C17" s="238">
        <f t="shared" ca="1" si="4"/>
        <v>0</v>
      </c>
      <c r="D17" s="155">
        <f t="shared" ca="1" si="5"/>
        <v>9</v>
      </c>
      <c r="E17" s="209">
        <f t="shared" ca="1" si="0"/>
        <v>9</v>
      </c>
      <c r="F17" s="10">
        <f t="shared" ca="1" si="6"/>
        <v>46553</v>
      </c>
      <c r="G17" s="156">
        <f t="shared" ca="1" si="7"/>
        <v>55697</v>
      </c>
      <c r="H17" s="156">
        <f ca="1">SUM($G$8:G17)*gamma</f>
        <v>16709.099999999999</v>
      </c>
      <c r="I17" s="23">
        <f ca="1">MAX(0,ROUND($I$7-$H$7-H17-SUM($G$8:G17),0))</f>
        <v>10556821</v>
      </c>
      <c r="J17" s="208">
        <f t="shared" ca="1" si="1"/>
        <v>9</v>
      </c>
      <c r="K17" s="43"/>
    </row>
    <row r="18" spans="1:11" ht="15.75" customHeight="1" thickBot="1">
      <c r="A18" s="237">
        <f t="shared" ca="1" si="2"/>
        <v>46583</v>
      </c>
      <c r="B18" s="238">
        <f t="shared" ca="1" si="3"/>
        <v>55697</v>
      </c>
      <c r="C18" s="238">
        <f t="shared" ca="1" si="4"/>
        <v>0</v>
      </c>
      <c r="D18" s="155">
        <f t="shared" ca="1" si="5"/>
        <v>10</v>
      </c>
      <c r="E18" s="209">
        <f t="shared" ca="1" si="0"/>
        <v>10</v>
      </c>
      <c r="F18" s="10">
        <f t="shared" ca="1" si="6"/>
        <v>46583</v>
      </c>
      <c r="G18" s="156">
        <f t="shared" ca="1" si="7"/>
        <v>55697</v>
      </c>
      <c r="H18" s="156">
        <f ca="1">SUM($G$8:G18)*gamma</f>
        <v>18380.009999999998</v>
      </c>
      <c r="I18" s="23">
        <f ca="1">MAX(0,ROUND($I$7-$H$7-H18-SUM($G$8:G18),0))</f>
        <v>10499453</v>
      </c>
      <c r="J18" s="208">
        <f t="shared" ca="1" si="1"/>
        <v>10</v>
      </c>
      <c r="K18" s="43"/>
    </row>
    <row r="19" spans="1:11" ht="15.75" customHeight="1" thickBot="1">
      <c r="A19" s="237">
        <f t="shared" ca="1" si="2"/>
        <v>46614</v>
      </c>
      <c r="B19" s="238">
        <f t="shared" ca="1" si="3"/>
        <v>55697</v>
      </c>
      <c r="C19" s="238">
        <f t="shared" ca="1" si="4"/>
        <v>0</v>
      </c>
      <c r="D19" s="155">
        <f t="shared" ca="1" si="5"/>
        <v>11</v>
      </c>
      <c r="E19" s="209">
        <f t="shared" ca="1" si="0"/>
        <v>11</v>
      </c>
      <c r="F19" s="10">
        <f t="shared" ca="1" si="6"/>
        <v>46614</v>
      </c>
      <c r="G19" s="156">
        <f t="shared" ca="1" si="7"/>
        <v>55697</v>
      </c>
      <c r="H19" s="156">
        <f ca="1">SUM($G$8:G19)*gamma</f>
        <v>20050.919999999998</v>
      </c>
      <c r="I19" s="23">
        <f ca="1">MAX(0,ROUND($I$7-$H$7-H19-SUM($G$8:G19),0))</f>
        <v>10442085</v>
      </c>
      <c r="J19" s="208">
        <f t="shared" ca="1" si="1"/>
        <v>11</v>
      </c>
      <c r="K19" s="43"/>
    </row>
    <row r="20" spans="1:11" ht="15.75" customHeight="1" thickBot="1">
      <c r="A20" s="237">
        <f t="shared" ca="1" si="2"/>
        <v>46645</v>
      </c>
      <c r="B20" s="238">
        <f t="shared" ca="1" si="3"/>
        <v>60153</v>
      </c>
      <c r="C20" s="238">
        <f t="shared" ca="1" si="4"/>
        <v>0</v>
      </c>
      <c r="D20" s="155">
        <f t="shared" ca="1" si="5"/>
        <v>12</v>
      </c>
      <c r="E20" s="209">
        <f t="shared" ca="1" si="0"/>
        <v>0</v>
      </c>
      <c r="F20" s="10">
        <f t="shared" ca="1" si="6"/>
        <v>46645</v>
      </c>
      <c r="G20" s="156">
        <f t="shared" ca="1" si="7"/>
        <v>60152.76</v>
      </c>
      <c r="H20" s="156">
        <f ca="1">SUM($G$8:G20)*gamma</f>
        <v>21855.502799999998</v>
      </c>
      <c r="I20" s="23">
        <f ca="1">MAX(0,ROUND($I$7-$H$7-H20-SUM($G$8:G20),0))</f>
        <v>10380128</v>
      </c>
      <c r="J20" s="208">
        <f t="shared" ca="1" si="1"/>
        <v>12</v>
      </c>
      <c r="K20" s="43"/>
    </row>
    <row r="21" spans="1:11" ht="15.75" customHeight="1" thickBot="1">
      <c r="A21" s="237">
        <f t="shared" ca="1" si="2"/>
        <v>46675</v>
      </c>
      <c r="B21" s="238">
        <f t="shared" ca="1" si="3"/>
        <v>60153</v>
      </c>
      <c r="C21" s="238">
        <f t="shared" ca="1" si="4"/>
        <v>0</v>
      </c>
      <c r="D21" s="155">
        <f t="shared" ca="1" si="5"/>
        <v>13</v>
      </c>
      <c r="E21" s="209">
        <f t="shared" ca="1" si="0"/>
        <v>1</v>
      </c>
      <c r="F21" s="10">
        <f t="shared" ca="1" si="6"/>
        <v>46675</v>
      </c>
      <c r="G21" s="156">
        <f t="shared" ca="1" si="7"/>
        <v>60152.76</v>
      </c>
      <c r="H21" s="156">
        <f ca="1">SUM($G$8:G21)*gamma</f>
        <v>23660.085599999999</v>
      </c>
      <c r="I21" s="23">
        <f ca="1">MAX(0,ROUND($I$7-$H$7-H21-SUM($G$8:G21),0))</f>
        <v>10318170</v>
      </c>
      <c r="J21" s="208">
        <f t="shared" ca="1" si="1"/>
        <v>13</v>
      </c>
      <c r="K21" s="43"/>
    </row>
    <row r="22" spans="1:11" ht="15.75" customHeight="1" thickBot="1">
      <c r="A22" s="237">
        <f t="shared" ca="1" si="2"/>
        <v>46706</v>
      </c>
      <c r="B22" s="238">
        <f t="shared" ca="1" si="3"/>
        <v>60153</v>
      </c>
      <c r="C22" s="238">
        <f t="shared" ca="1" si="4"/>
        <v>0</v>
      </c>
      <c r="D22" s="155">
        <f t="shared" ca="1" si="5"/>
        <v>14</v>
      </c>
      <c r="E22" s="209">
        <f t="shared" ca="1" si="0"/>
        <v>2</v>
      </c>
      <c r="F22" s="10">
        <f t="shared" ca="1" si="6"/>
        <v>46706</v>
      </c>
      <c r="G22" s="156">
        <f t="shared" ca="1" si="7"/>
        <v>60152.76</v>
      </c>
      <c r="H22" s="156">
        <f ca="1">SUM($G$8:G22)*gamma</f>
        <v>25464.668399999999</v>
      </c>
      <c r="I22" s="23">
        <f ca="1">MAX(0,ROUND($I$7-$H$7-H22-SUM($G$8:G22),0))</f>
        <v>10256213</v>
      </c>
      <c r="J22" s="208">
        <f t="shared" ca="1" si="1"/>
        <v>14</v>
      </c>
      <c r="K22" s="43"/>
    </row>
    <row r="23" spans="1:11" ht="15.75" customHeight="1" thickBot="1">
      <c r="A23" s="237">
        <f t="shared" ca="1" si="2"/>
        <v>46736</v>
      </c>
      <c r="B23" s="238">
        <f t="shared" ca="1" si="3"/>
        <v>60153</v>
      </c>
      <c r="C23" s="238">
        <f t="shared" ca="1" si="4"/>
        <v>0</v>
      </c>
      <c r="D23" s="155">
        <f t="shared" ca="1" si="5"/>
        <v>15</v>
      </c>
      <c r="E23" s="209">
        <f t="shared" ca="1" si="0"/>
        <v>3</v>
      </c>
      <c r="F23" s="10">
        <f t="shared" ca="1" si="6"/>
        <v>46736</v>
      </c>
      <c r="G23" s="156">
        <f t="shared" ca="1" si="7"/>
        <v>60152.76</v>
      </c>
      <c r="H23" s="156">
        <f ca="1">SUM($G$8:G23)*gamma</f>
        <v>27269.251199999999</v>
      </c>
      <c r="I23" s="23">
        <f ca="1">MAX(0,ROUND($I$7-$H$7-H23-SUM($G$8:G23),0))</f>
        <v>10194256</v>
      </c>
      <c r="J23" s="208">
        <f t="shared" ca="1" si="1"/>
        <v>15</v>
      </c>
      <c r="K23" s="43"/>
    </row>
    <row r="24" spans="1:11" ht="15.75" customHeight="1" thickBot="1">
      <c r="A24" s="237">
        <f t="shared" ca="1" si="2"/>
        <v>46767</v>
      </c>
      <c r="B24" s="238">
        <f t="shared" ca="1" si="3"/>
        <v>60153</v>
      </c>
      <c r="C24" s="238">
        <f t="shared" ca="1" si="4"/>
        <v>0</v>
      </c>
      <c r="D24" s="155">
        <f t="shared" ca="1" si="5"/>
        <v>16</v>
      </c>
      <c r="E24" s="209">
        <f t="shared" ca="1" si="0"/>
        <v>4</v>
      </c>
      <c r="F24" s="10">
        <f t="shared" ca="1" si="6"/>
        <v>46767</v>
      </c>
      <c r="G24" s="156">
        <f t="shared" ca="1" si="7"/>
        <v>60152.76</v>
      </c>
      <c r="H24" s="156">
        <f ca="1">SUM($G$8:G24)*gamma</f>
        <v>29073.833999999999</v>
      </c>
      <c r="I24" s="23">
        <f ca="1">MAX(0,ROUND($I$7-$H$7-H24-SUM($G$8:G24),0))</f>
        <v>10132298</v>
      </c>
      <c r="J24" s="208">
        <f t="shared" ca="1" si="1"/>
        <v>16</v>
      </c>
      <c r="K24" s="43"/>
    </row>
    <row r="25" spans="1:11" ht="15.75" customHeight="1" thickBot="1">
      <c r="A25" s="237">
        <f t="shared" ca="1" si="2"/>
        <v>46798</v>
      </c>
      <c r="B25" s="238">
        <f t="shared" ca="1" si="3"/>
        <v>60153</v>
      </c>
      <c r="C25" s="238">
        <f t="shared" ca="1" si="4"/>
        <v>0</v>
      </c>
      <c r="D25" s="155">
        <f t="shared" ca="1" si="5"/>
        <v>17</v>
      </c>
      <c r="E25" s="209">
        <f t="shared" ca="1" si="0"/>
        <v>5</v>
      </c>
      <c r="F25" s="10">
        <f t="shared" ca="1" si="6"/>
        <v>46798</v>
      </c>
      <c r="G25" s="156">
        <f t="shared" ca="1" si="7"/>
        <v>60152.76</v>
      </c>
      <c r="H25" s="156">
        <f ca="1">SUM($G$8:G25)*gamma</f>
        <v>30878.416799999999</v>
      </c>
      <c r="I25" s="23">
        <f ca="1">MAX(0,ROUND($I$7-$H$7-H25-SUM($G$8:G25),0))</f>
        <v>10070341</v>
      </c>
      <c r="J25" s="208">
        <f t="shared" ca="1" si="1"/>
        <v>17</v>
      </c>
      <c r="K25" s="43"/>
    </row>
    <row r="26" spans="1:11" ht="15.75" customHeight="1" thickBot="1">
      <c r="A26" s="237">
        <f t="shared" ca="1" si="2"/>
        <v>46827</v>
      </c>
      <c r="B26" s="238">
        <f t="shared" ca="1" si="3"/>
        <v>60153</v>
      </c>
      <c r="C26" s="238">
        <f t="shared" ca="1" si="4"/>
        <v>0</v>
      </c>
      <c r="D26" s="155">
        <f t="shared" ca="1" si="5"/>
        <v>18</v>
      </c>
      <c r="E26" s="209">
        <f t="shared" ca="1" si="0"/>
        <v>6</v>
      </c>
      <c r="F26" s="10">
        <f t="shared" ca="1" si="6"/>
        <v>46827</v>
      </c>
      <c r="G26" s="156">
        <f t="shared" ca="1" si="7"/>
        <v>60152.76</v>
      </c>
      <c r="H26" s="156">
        <f ca="1">SUM($G$8:G26)*gamma</f>
        <v>32682.999599999999</v>
      </c>
      <c r="I26" s="23">
        <f ca="1">MAX(0,ROUND($I$7-$H$7-H26-SUM($G$8:G26),0))</f>
        <v>10008384</v>
      </c>
      <c r="J26" s="208">
        <f t="shared" ca="1" si="1"/>
        <v>18</v>
      </c>
      <c r="K26" s="43"/>
    </row>
    <row r="27" spans="1:11" ht="15.75" customHeight="1" thickBot="1">
      <c r="A27" s="237">
        <f t="shared" ca="1" si="2"/>
        <v>46858</v>
      </c>
      <c r="B27" s="238">
        <f t="shared" ca="1" si="3"/>
        <v>60153</v>
      </c>
      <c r="C27" s="238">
        <f t="shared" ca="1" si="4"/>
        <v>0</v>
      </c>
      <c r="D27" s="155">
        <f t="shared" ca="1" si="5"/>
        <v>19</v>
      </c>
      <c r="E27" s="209">
        <f t="shared" ca="1" si="0"/>
        <v>7</v>
      </c>
      <c r="F27" s="10">
        <f t="shared" ca="1" si="6"/>
        <v>46858</v>
      </c>
      <c r="G27" s="156">
        <f t="shared" ca="1" si="7"/>
        <v>60152.76</v>
      </c>
      <c r="H27" s="156">
        <f ca="1">SUM($G$8:G27)*gamma</f>
        <v>34487.582399999999</v>
      </c>
      <c r="I27" s="23">
        <f ca="1">MAX(0,ROUND($I$7-$H$7-H27-SUM($G$8:G27),0))</f>
        <v>9946426</v>
      </c>
      <c r="J27" s="208">
        <f t="shared" ca="1" si="1"/>
        <v>19</v>
      </c>
      <c r="K27" s="43"/>
    </row>
    <row r="28" spans="1:11" ht="15.75" customHeight="1" thickBot="1">
      <c r="A28" s="237">
        <f t="shared" ca="1" si="2"/>
        <v>46888</v>
      </c>
      <c r="B28" s="238">
        <f t="shared" ca="1" si="3"/>
        <v>60153</v>
      </c>
      <c r="C28" s="238">
        <f t="shared" ca="1" si="4"/>
        <v>0</v>
      </c>
      <c r="D28" s="155">
        <f t="shared" ca="1" si="5"/>
        <v>20</v>
      </c>
      <c r="E28" s="209">
        <f t="shared" ca="1" si="0"/>
        <v>8</v>
      </c>
      <c r="F28" s="10">
        <f t="shared" ca="1" si="6"/>
        <v>46888</v>
      </c>
      <c r="G28" s="156">
        <f t="shared" ca="1" si="7"/>
        <v>60152.76</v>
      </c>
      <c r="H28" s="156">
        <f ca="1">SUM($G$8:G28)*gamma</f>
        <v>36292.165200000003</v>
      </c>
      <c r="I28" s="23">
        <f ca="1">MAX(0,ROUND($I$7-$H$7-H28-SUM($G$8:G28),0))</f>
        <v>9884469</v>
      </c>
      <c r="J28" s="208">
        <f t="shared" ca="1" si="1"/>
        <v>20</v>
      </c>
      <c r="K28" s="43"/>
    </row>
    <row r="29" spans="1:11" ht="15.75" customHeight="1" thickBot="1">
      <c r="A29" s="237">
        <f t="shared" ca="1" si="2"/>
        <v>46919</v>
      </c>
      <c r="B29" s="238">
        <f t="shared" ca="1" si="3"/>
        <v>60153</v>
      </c>
      <c r="C29" s="238">
        <f t="shared" ca="1" si="4"/>
        <v>0</v>
      </c>
      <c r="D29" s="155">
        <f t="shared" ca="1" si="5"/>
        <v>21</v>
      </c>
      <c r="E29" s="209">
        <f t="shared" ca="1" si="0"/>
        <v>9</v>
      </c>
      <c r="F29" s="10">
        <f t="shared" ca="1" si="6"/>
        <v>46919</v>
      </c>
      <c r="G29" s="156">
        <f t="shared" ca="1" si="7"/>
        <v>60152.76</v>
      </c>
      <c r="H29" s="156">
        <f ca="1">SUM($G$8:G29)*gamma</f>
        <v>38096.748</v>
      </c>
      <c r="I29" s="23">
        <f ca="1">MAX(0,ROUND($I$7-$H$7-H29-SUM($G$8:G29),0))</f>
        <v>9822512</v>
      </c>
      <c r="J29" s="208">
        <f t="shared" ca="1" si="1"/>
        <v>21</v>
      </c>
      <c r="K29" s="43"/>
    </row>
    <row r="30" spans="1:11" ht="15.75" customHeight="1" thickBot="1">
      <c r="A30" s="237">
        <f t="shared" ca="1" si="2"/>
        <v>46949</v>
      </c>
      <c r="B30" s="238">
        <f t="shared" ca="1" si="3"/>
        <v>60153</v>
      </c>
      <c r="C30" s="238">
        <f t="shared" ca="1" si="4"/>
        <v>0</v>
      </c>
      <c r="D30" s="155">
        <f t="shared" ca="1" si="5"/>
        <v>22</v>
      </c>
      <c r="E30" s="209">
        <f t="shared" ca="1" si="0"/>
        <v>10</v>
      </c>
      <c r="F30" s="10">
        <f t="shared" ca="1" si="6"/>
        <v>46949</v>
      </c>
      <c r="G30" s="156">
        <f t="shared" ca="1" si="7"/>
        <v>60152.76</v>
      </c>
      <c r="H30" s="156">
        <f ca="1">SUM($G$8:G30)*gamma</f>
        <v>39901.330800000003</v>
      </c>
      <c r="I30" s="23">
        <f ca="1">MAX(0,ROUND($I$7-$H$7-H30-SUM($G$8:G30),0))</f>
        <v>9760554</v>
      </c>
      <c r="J30" s="208">
        <f t="shared" ca="1" si="1"/>
        <v>22</v>
      </c>
      <c r="K30" s="43"/>
    </row>
    <row r="31" spans="1:11" ht="15.75" customHeight="1" thickBot="1">
      <c r="A31" s="237">
        <f t="shared" ca="1" si="2"/>
        <v>46980</v>
      </c>
      <c r="B31" s="238">
        <f t="shared" ca="1" si="3"/>
        <v>60153</v>
      </c>
      <c r="C31" s="238">
        <f t="shared" ca="1" si="4"/>
        <v>0</v>
      </c>
      <c r="D31" s="155">
        <f t="shared" ca="1" si="5"/>
        <v>23</v>
      </c>
      <c r="E31" s="209">
        <f t="shared" ca="1" si="0"/>
        <v>11</v>
      </c>
      <c r="F31" s="10">
        <f t="shared" ca="1" si="6"/>
        <v>46980</v>
      </c>
      <c r="G31" s="156">
        <f t="shared" ca="1" si="7"/>
        <v>60152.76</v>
      </c>
      <c r="H31" s="156">
        <f ca="1">SUM($G$8:G31)*gamma</f>
        <v>41705.9136</v>
      </c>
      <c r="I31" s="23">
        <f ca="1">MAX(0,ROUND($I$7-$H$7-H31-SUM($G$8:G31),0))</f>
        <v>9698597</v>
      </c>
      <c r="J31" s="208">
        <f t="shared" ca="1" si="1"/>
        <v>23</v>
      </c>
      <c r="K31" s="43"/>
    </row>
    <row r="32" spans="1:11" ht="15.75" customHeight="1" thickBot="1">
      <c r="A32" s="237">
        <f t="shared" ca="1" si="2"/>
        <v>47011</v>
      </c>
      <c r="B32" s="238">
        <f t="shared" ca="1" si="3"/>
        <v>64965</v>
      </c>
      <c r="C32" s="238">
        <f t="shared" ca="1" si="4"/>
        <v>9631683</v>
      </c>
      <c r="D32" s="155">
        <f t="shared" ca="1" si="5"/>
        <v>24</v>
      </c>
      <c r="E32" s="209">
        <f t="shared" ca="1" si="0"/>
        <v>0</v>
      </c>
      <c r="F32" s="10">
        <f t="shared" ca="1" si="6"/>
        <v>47011</v>
      </c>
      <c r="G32" s="156">
        <f t="shared" ca="1" si="7"/>
        <v>64964.980800000005</v>
      </c>
      <c r="H32" s="156">
        <f ca="1">SUM($G$8:G32)*gamma</f>
        <v>43654.863024000006</v>
      </c>
      <c r="I32" s="23">
        <f ca="1">MAX(0,ROUND($I$7-$H$7-H32-SUM($G$8:G32),0))</f>
        <v>9631683</v>
      </c>
      <c r="J32" s="208">
        <f t="shared" ca="1" si="1"/>
        <v>24</v>
      </c>
      <c r="K32" s="43"/>
    </row>
    <row r="33" spans="1:11" ht="15.75" customHeight="1" thickBot="1">
      <c r="A33" s="237">
        <f t="shared" ca="1" si="2"/>
        <v>47041</v>
      </c>
      <c r="B33" s="238">
        <f t="shared" ca="1" si="3"/>
        <v>64965</v>
      </c>
      <c r="C33" s="238">
        <f t="shared" ca="1" si="4"/>
        <v>9564769</v>
      </c>
      <c r="D33" s="155">
        <f t="shared" ca="1" si="5"/>
        <v>25</v>
      </c>
      <c r="E33" s="209">
        <f t="shared" ca="1" si="0"/>
        <v>1</v>
      </c>
      <c r="F33" s="10">
        <f t="shared" ca="1" si="6"/>
        <v>47041</v>
      </c>
      <c r="G33" s="156">
        <f t="shared" ca="1" si="7"/>
        <v>64964.980800000005</v>
      </c>
      <c r="H33" s="156">
        <f ca="1">SUM($G$8:G33)*gamma</f>
        <v>45603.812448000004</v>
      </c>
      <c r="I33" s="23">
        <f ca="1">MAX(0,ROUND($I$7-$H$7-H33-SUM($G$8:G33),0))</f>
        <v>9564769</v>
      </c>
      <c r="J33" s="208">
        <f t="shared" ca="1" si="1"/>
        <v>25</v>
      </c>
      <c r="K33" s="43"/>
    </row>
    <row r="34" spans="1:11" ht="15.75" customHeight="1" thickBot="1">
      <c r="A34" s="237">
        <f t="shared" ca="1" si="2"/>
        <v>47072</v>
      </c>
      <c r="B34" s="238">
        <f t="shared" ca="1" si="3"/>
        <v>64965</v>
      </c>
      <c r="C34" s="238">
        <f t="shared" ca="1" si="4"/>
        <v>9497855</v>
      </c>
      <c r="D34" s="155">
        <f t="shared" ca="1" si="5"/>
        <v>26</v>
      </c>
      <c r="E34" s="209">
        <f t="shared" ca="1" si="0"/>
        <v>2</v>
      </c>
      <c r="F34" s="10">
        <f t="shared" ca="1" si="6"/>
        <v>47072</v>
      </c>
      <c r="G34" s="156">
        <f t="shared" ca="1" si="7"/>
        <v>64964.980800000005</v>
      </c>
      <c r="H34" s="156">
        <f ca="1">SUM($G$8:G34)*gamma</f>
        <v>47552.761872000003</v>
      </c>
      <c r="I34" s="23">
        <f ca="1">MAX(0,ROUND($I$7-$H$7-H34-SUM($G$8:G34),0))</f>
        <v>9497855</v>
      </c>
      <c r="J34" s="208">
        <f t="shared" ca="1" si="1"/>
        <v>26</v>
      </c>
      <c r="K34" s="43"/>
    </row>
    <row r="35" spans="1:11" ht="15.75" customHeight="1" thickBot="1">
      <c r="A35" s="237">
        <f t="shared" ca="1" si="2"/>
        <v>47102</v>
      </c>
      <c r="B35" s="238">
        <f t="shared" ca="1" si="3"/>
        <v>64965</v>
      </c>
      <c r="C35" s="238">
        <f t="shared" ca="1" si="4"/>
        <v>9430941</v>
      </c>
      <c r="D35" s="155">
        <f t="shared" ca="1" si="5"/>
        <v>27</v>
      </c>
      <c r="E35" s="209">
        <f t="shared" ca="1" si="0"/>
        <v>3</v>
      </c>
      <c r="F35" s="10">
        <f t="shared" ca="1" si="6"/>
        <v>47102</v>
      </c>
      <c r="G35" s="156">
        <f t="shared" ca="1" si="7"/>
        <v>64964.980800000005</v>
      </c>
      <c r="H35" s="156">
        <f ca="1">SUM($G$8:G35)*gamma</f>
        <v>49501.711296000001</v>
      </c>
      <c r="I35" s="23">
        <f ca="1">MAX(0,ROUND($I$7-$H$7-H35-SUM($G$8:G35),0))</f>
        <v>9430941</v>
      </c>
      <c r="J35" s="208">
        <f t="shared" ca="1" si="1"/>
        <v>27</v>
      </c>
      <c r="K35" s="43"/>
    </row>
    <row r="36" spans="1:11" ht="15.75" customHeight="1" thickBot="1">
      <c r="A36" s="237">
        <f t="shared" ca="1" si="2"/>
        <v>47133</v>
      </c>
      <c r="B36" s="238">
        <f t="shared" ca="1" si="3"/>
        <v>64965</v>
      </c>
      <c r="C36" s="238">
        <f t="shared" ca="1" si="4"/>
        <v>9364027</v>
      </c>
      <c r="D36" s="155">
        <f t="shared" ca="1" si="5"/>
        <v>28</v>
      </c>
      <c r="E36" s="209">
        <f t="shared" ca="1" si="0"/>
        <v>4</v>
      </c>
      <c r="F36" s="10">
        <f t="shared" ca="1" si="6"/>
        <v>47133</v>
      </c>
      <c r="G36" s="156">
        <f t="shared" ca="1" si="7"/>
        <v>64964.980800000005</v>
      </c>
      <c r="H36" s="156">
        <f ca="1">SUM($G$8:G36)*gamma</f>
        <v>51450.660720000007</v>
      </c>
      <c r="I36" s="23">
        <f ca="1">MAX(0,ROUND($I$7-$H$7-H36-SUM($G$8:G36),0))</f>
        <v>9364027</v>
      </c>
      <c r="J36" s="208">
        <f t="shared" ca="1" si="1"/>
        <v>28</v>
      </c>
      <c r="K36" s="43"/>
    </row>
    <row r="37" spans="1:11" ht="15.75" customHeight="1" thickBot="1">
      <c r="A37" s="237">
        <f t="shared" ca="1" si="2"/>
        <v>47164</v>
      </c>
      <c r="B37" s="238">
        <f t="shared" ca="1" si="3"/>
        <v>64965</v>
      </c>
      <c r="C37" s="238">
        <f t="shared" ca="1" si="4"/>
        <v>9297113</v>
      </c>
      <c r="D37" s="155">
        <f t="shared" ca="1" si="5"/>
        <v>29</v>
      </c>
      <c r="E37" s="209">
        <f t="shared" ca="1" si="0"/>
        <v>5</v>
      </c>
      <c r="F37" s="10">
        <f t="shared" ca="1" si="6"/>
        <v>47164</v>
      </c>
      <c r="G37" s="156">
        <f t="shared" ca="1" si="7"/>
        <v>64964.980800000005</v>
      </c>
      <c r="H37" s="156">
        <f ca="1">SUM($G$8:G37)*gamma</f>
        <v>53399.610144000006</v>
      </c>
      <c r="I37" s="23">
        <f ca="1">MAX(0,ROUND($I$7-$H$7-H37-SUM($G$8:G37),0))</f>
        <v>9297113</v>
      </c>
      <c r="J37" s="208">
        <f t="shared" ca="1" si="1"/>
        <v>29</v>
      </c>
      <c r="K37" s="43"/>
    </row>
    <row r="38" spans="1:11" ht="15.75" customHeight="1" thickBot="1">
      <c r="A38" s="237">
        <f t="shared" ca="1" si="2"/>
        <v>47192</v>
      </c>
      <c r="B38" s="238">
        <f t="shared" ca="1" si="3"/>
        <v>64965</v>
      </c>
      <c r="C38" s="238">
        <f t="shared" ca="1" si="4"/>
        <v>9230199</v>
      </c>
      <c r="D38" s="155">
        <f t="shared" ca="1" si="5"/>
        <v>30</v>
      </c>
      <c r="E38" s="209">
        <f t="shared" ca="1" si="0"/>
        <v>6</v>
      </c>
      <c r="F38" s="10">
        <f t="shared" ca="1" si="6"/>
        <v>47192</v>
      </c>
      <c r="G38" s="156">
        <f t="shared" ca="1" si="7"/>
        <v>64964.980800000005</v>
      </c>
      <c r="H38" s="156">
        <f ca="1">SUM($G$8:G38)*gamma</f>
        <v>55348.559568000004</v>
      </c>
      <c r="I38" s="23">
        <f ca="1">MAX(0,ROUND($I$7-$H$7-H38-SUM($G$8:G38),0))</f>
        <v>9230199</v>
      </c>
      <c r="J38" s="208">
        <f t="shared" ca="1" si="1"/>
        <v>30</v>
      </c>
      <c r="K38" s="43"/>
    </row>
    <row r="39" spans="1:11" ht="15.75" customHeight="1" thickBot="1">
      <c r="A39" s="237">
        <f t="shared" ca="1" si="2"/>
        <v>47223</v>
      </c>
      <c r="B39" s="238">
        <f t="shared" ca="1" si="3"/>
        <v>64965</v>
      </c>
      <c r="C39" s="238">
        <f t="shared" ca="1" si="4"/>
        <v>9163286</v>
      </c>
      <c r="D39" s="155">
        <f t="shared" ca="1" si="5"/>
        <v>31</v>
      </c>
      <c r="E39" s="209">
        <f t="shared" ca="1" si="0"/>
        <v>7</v>
      </c>
      <c r="F39" s="10">
        <f t="shared" ca="1" si="6"/>
        <v>47223</v>
      </c>
      <c r="G39" s="156">
        <f t="shared" ca="1" si="7"/>
        <v>64964.980800000005</v>
      </c>
      <c r="H39" s="156">
        <f ca="1">SUM($G$8:G39)*gamma</f>
        <v>57297.508992000003</v>
      </c>
      <c r="I39" s="23">
        <f ca="1">MAX(0,ROUND($I$7-$H$7-H39-SUM($G$8:G39),0))</f>
        <v>9163286</v>
      </c>
      <c r="J39" s="208">
        <f t="shared" ca="1" si="1"/>
        <v>31</v>
      </c>
      <c r="K39" s="43"/>
    </row>
    <row r="40" spans="1:11" ht="15.75" customHeight="1" thickBot="1">
      <c r="A40" s="237">
        <f t="shared" ca="1" si="2"/>
        <v>47253</v>
      </c>
      <c r="B40" s="238">
        <f t="shared" ca="1" si="3"/>
        <v>64965</v>
      </c>
      <c r="C40" s="238">
        <f t="shared" ca="1" si="4"/>
        <v>9096372</v>
      </c>
      <c r="D40" s="155">
        <f t="shared" ca="1" si="5"/>
        <v>32</v>
      </c>
      <c r="E40" s="209">
        <f t="shared" ca="1" si="0"/>
        <v>8</v>
      </c>
      <c r="F40" s="10">
        <f t="shared" ca="1" si="6"/>
        <v>47253</v>
      </c>
      <c r="G40" s="156">
        <f t="shared" ca="1" si="7"/>
        <v>64964.980800000005</v>
      </c>
      <c r="H40" s="156">
        <f ca="1">SUM($G$8:G40)*gamma</f>
        <v>59246.458416000009</v>
      </c>
      <c r="I40" s="23">
        <f ca="1">MAX(0,ROUND($I$7-$H$7-H40-SUM($G$8:G40),0))</f>
        <v>9096372</v>
      </c>
      <c r="J40" s="208">
        <f t="shared" ca="1" si="1"/>
        <v>32</v>
      </c>
      <c r="K40" s="43"/>
    </row>
    <row r="41" spans="1:11" ht="15.75" customHeight="1" thickBot="1">
      <c r="A41" s="237">
        <f t="shared" ca="1" si="2"/>
        <v>47284</v>
      </c>
      <c r="B41" s="238">
        <f t="shared" ca="1" si="3"/>
        <v>64965</v>
      </c>
      <c r="C41" s="238">
        <f t="shared" ca="1" si="4"/>
        <v>9029458</v>
      </c>
      <c r="D41" s="155">
        <f t="shared" ca="1" si="5"/>
        <v>33</v>
      </c>
      <c r="E41" s="209">
        <f t="shared" ca="1" si="0"/>
        <v>9</v>
      </c>
      <c r="F41" s="10">
        <f t="shared" ca="1" si="6"/>
        <v>47284</v>
      </c>
      <c r="G41" s="156">
        <f t="shared" ca="1" si="7"/>
        <v>64964.980800000005</v>
      </c>
      <c r="H41" s="156">
        <f ca="1">SUM($G$8:G41)*gamma</f>
        <v>61195.407840000007</v>
      </c>
      <c r="I41" s="23">
        <f ca="1">MAX(0,ROUND($I$7-$H$7-H41-SUM($G$8:G41),0))</f>
        <v>9029458</v>
      </c>
      <c r="J41" s="208">
        <f t="shared" ca="1" si="1"/>
        <v>33</v>
      </c>
      <c r="K41" s="43"/>
    </row>
    <row r="42" spans="1:11" ht="15.75" customHeight="1" thickBot="1">
      <c r="A42" s="237">
        <f t="shared" ca="1" si="2"/>
        <v>47314</v>
      </c>
      <c r="B42" s="238">
        <f t="shared" ca="1" si="3"/>
        <v>64965</v>
      </c>
      <c r="C42" s="238">
        <f t="shared" ca="1" si="4"/>
        <v>8962544</v>
      </c>
      <c r="D42" s="155">
        <f t="shared" ca="1" si="5"/>
        <v>34</v>
      </c>
      <c r="E42" s="209">
        <f t="shared" ca="1" si="0"/>
        <v>10</v>
      </c>
      <c r="F42" s="10">
        <f t="shared" ca="1" si="6"/>
        <v>47314</v>
      </c>
      <c r="G42" s="156">
        <f t="shared" ca="1" si="7"/>
        <v>64964.980800000005</v>
      </c>
      <c r="H42" s="156">
        <f ca="1">SUM($G$8:G42)*gamma</f>
        <v>63144.357264000006</v>
      </c>
      <c r="I42" s="23">
        <f ca="1">MAX(0,ROUND($I$7-$H$7-H42-SUM($G$8:G42),0))</f>
        <v>8962544</v>
      </c>
      <c r="J42" s="208">
        <f t="shared" ca="1" si="1"/>
        <v>34</v>
      </c>
      <c r="K42" s="43"/>
    </row>
    <row r="43" spans="1:11" ht="15.75" customHeight="1" thickBot="1">
      <c r="A43" s="237">
        <f t="shared" ca="1" si="2"/>
        <v>47345</v>
      </c>
      <c r="B43" s="238">
        <f t="shared" ca="1" si="3"/>
        <v>64965</v>
      </c>
      <c r="C43" s="238">
        <f t="shared" ca="1" si="4"/>
        <v>8895630</v>
      </c>
      <c r="D43" s="155">
        <f t="shared" ca="1" si="5"/>
        <v>35</v>
      </c>
      <c r="E43" s="209">
        <f t="shared" ca="1" si="0"/>
        <v>11</v>
      </c>
      <c r="F43" s="10">
        <f t="shared" ca="1" si="6"/>
        <v>47345</v>
      </c>
      <c r="G43" s="156">
        <f t="shared" ca="1" si="7"/>
        <v>64964.980800000005</v>
      </c>
      <c r="H43" s="156">
        <f ca="1">SUM($G$8:G43)*gamma</f>
        <v>65093.306688000011</v>
      </c>
      <c r="I43" s="23">
        <f ca="1">MAX(0,ROUND($I$7-$H$7-H43-SUM($G$8:G43),0))</f>
        <v>8895630</v>
      </c>
      <c r="J43" s="208">
        <f t="shared" ca="1" si="1"/>
        <v>35</v>
      </c>
      <c r="K43" s="43"/>
    </row>
    <row r="44" spans="1:11" ht="15.75" customHeight="1" thickBot="1">
      <c r="A44" s="237">
        <f t="shared" ca="1" si="2"/>
        <v>47376</v>
      </c>
      <c r="B44" s="238">
        <f t="shared" ca="1" si="3"/>
        <v>70162</v>
      </c>
      <c r="C44" s="238">
        <f t="shared" ca="1" si="4"/>
        <v>8823363</v>
      </c>
      <c r="D44" s="155">
        <f t="shared" ca="1" si="5"/>
        <v>36</v>
      </c>
      <c r="E44" s="209">
        <f t="shared" ca="1" si="0"/>
        <v>0</v>
      </c>
      <c r="F44" s="10">
        <f t="shared" ca="1" si="6"/>
        <v>47376</v>
      </c>
      <c r="G44" s="156">
        <f t="shared" ca="1" si="7"/>
        <v>70162.179264000006</v>
      </c>
      <c r="H44" s="156">
        <f ca="1">SUM($G$8:G44)*gamma</f>
        <v>67198.172065920007</v>
      </c>
      <c r="I44" s="23">
        <f ca="1">MAX(0,ROUND($I$7-$H$7-H44-SUM($G$8:G44),0))</f>
        <v>8823363</v>
      </c>
      <c r="J44" s="208">
        <f t="shared" ca="1" si="1"/>
        <v>36</v>
      </c>
      <c r="K44" s="43"/>
    </row>
    <row r="45" spans="1:11" ht="15.75" customHeight="1" thickBot="1">
      <c r="A45" s="237">
        <f t="shared" ca="1" si="2"/>
        <v>47406</v>
      </c>
      <c r="B45" s="238">
        <f t="shared" ca="1" si="3"/>
        <v>70162</v>
      </c>
      <c r="C45" s="238">
        <f t="shared" ca="1" si="4"/>
        <v>8751096</v>
      </c>
      <c r="D45" s="155">
        <f t="shared" ca="1" si="5"/>
        <v>37</v>
      </c>
      <c r="E45" s="209">
        <f t="shared" ca="1" si="0"/>
        <v>1</v>
      </c>
      <c r="F45" s="10">
        <f t="shared" ca="1" si="6"/>
        <v>47406</v>
      </c>
      <c r="G45" s="156">
        <f t="shared" ca="1" si="7"/>
        <v>70162.179264000006</v>
      </c>
      <c r="H45" s="156">
        <f ca="1">SUM($G$8:G45)*gamma</f>
        <v>69303.037443840018</v>
      </c>
      <c r="I45" s="23">
        <f ca="1">MAX(0,ROUND($I$7-$H$7-H45-SUM($G$8:G45),0))</f>
        <v>8751096</v>
      </c>
      <c r="J45" s="208">
        <f t="shared" ca="1" si="1"/>
        <v>37</v>
      </c>
      <c r="K45" s="43"/>
    </row>
    <row r="46" spans="1:11" ht="15.75" customHeight="1" thickBot="1">
      <c r="A46" s="237">
        <f t="shared" ca="1" si="2"/>
        <v>47437</v>
      </c>
      <c r="B46" s="238">
        <f t="shared" ca="1" si="3"/>
        <v>70162</v>
      </c>
      <c r="C46" s="238">
        <f t="shared" ca="1" si="4"/>
        <v>8678829</v>
      </c>
      <c r="D46" s="155">
        <f t="shared" ca="1" si="5"/>
        <v>38</v>
      </c>
      <c r="E46" s="209">
        <f t="shared" ca="1" si="0"/>
        <v>2</v>
      </c>
      <c r="F46" s="10">
        <f t="shared" ca="1" si="6"/>
        <v>47437</v>
      </c>
      <c r="G46" s="156">
        <f t="shared" ca="1" si="7"/>
        <v>70162.179264000006</v>
      </c>
      <c r="H46" s="156">
        <f ca="1">SUM($G$8:G46)*gamma</f>
        <v>71407.902821760028</v>
      </c>
      <c r="I46" s="23">
        <f ca="1">MAX(0,ROUND($I$7-$H$7-H46-SUM($G$8:G46),0))</f>
        <v>8678829</v>
      </c>
      <c r="J46" s="208">
        <f t="shared" ca="1" si="1"/>
        <v>38</v>
      </c>
      <c r="K46" s="43"/>
    </row>
    <row r="47" spans="1:11" ht="15.75" customHeight="1" thickBot="1">
      <c r="A47" s="237">
        <f t="shared" ca="1" si="2"/>
        <v>47467</v>
      </c>
      <c r="B47" s="238">
        <f t="shared" ca="1" si="3"/>
        <v>70162</v>
      </c>
      <c r="C47" s="238">
        <f t="shared" ca="1" si="4"/>
        <v>8606562</v>
      </c>
      <c r="D47" s="155">
        <f t="shared" ca="1" si="5"/>
        <v>39</v>
      </c>
      <c r="E47" s="209">
        <f t="shared" ca="1" si="0"/>
        <v>3</v>
      </c>
      <c r="F47" s="10">
        <f t="shared" ca="1" si="6"/>
        <v>47467</v>
      </c>
      <c r="G47" s="156">
        <f t="shared" ca="1" si="7"/>
        <v>70162.179264000006</v>
      </c>
      <c r="H47" s="156">
        <f ca="1">SUM($G$8:G47)*gamma</f>
        <v>73512.768199680024</v>
      </c>
      <c r="I47" s="23">
        <f ca="1">MAX(0,ROUND($I$7-$H$7-H47-SUM($G$8:G47),0))</f>
        <v>8606562</v>
      </c>
      <c r="J47" s="208">
        <f t="shared" ca="1" si="1"/>
        <v>39</v>
      </c>
      <c r="K47" s="43"/>
    </row>
    <row r="48" spans="1:11" ht="15.75" customHeight="1" thickBot="1">
      <c r="A48" s="237">
        <f t="shared" ca="1" si="2"/>
        <v>47498</v>
      </c>
      <c r="B48" s="238">
        <f t="shared" ca="1" si="3"/>
        <v>70162</v>
      </c>
      <c r="C48" s="238">
        <f t="shared" ca="1" si="4"/>
        <v>8534295</v>
      </c>
      <c r="D48" s="155">
        <f t="shared" ca="1" si="5"/>
        <v>40</v>
      </c>
      <c r="E48" s="209">
        <f t="shared" ca="1" si="0"/>
        <v>4</v>
      </c>
      <c r="F48" s="10">
        <f t="shared" ca="1" si="6"/>
        <v>47498</v>
      </c>
      <c r="G48" s="156">
        <f t="shared" ca="1" si="7"/>
        <v>70162.179264000006</v>
      </c>
      <c r="H48" s="156">
        <f ca="1">SUM($G$8:G48)*gamma</f>
        <v>75617.633577600034</v>
      </c>
      <c r="I48" s="23">
        <f ca="1">MAX(0,ROUND($I$7-$H$7-H48-SUM($G$8:G48),0))</f>
        <v>8534295</v>
      </c>
      <c r="J48" s="208">
        <f t="shared" ca="1" si="1"/>
        <v>40</v>
      </c>
      <c r="K48" s="43"/>
    </row>
    <row r="49" spans="1:11" ht="15.75" customHeight="1" thickBot="1">
      <c r="A49" s="237">
        <f t="shared" ca="1" si="2"/>
        <v>47529</v>
      </c>
      <c r="B49" s="238">
        <f t="shared" ca="1" si="3"/>
        <v>70162</v>
      </c>
      <c r="C49" s="238">
        <f t="shared" ca="1" si="4"/>
        <v>8462028</v>
      </c>
      <c r="D49" s="155">
        <f t="shared" ca="1" si="5"/>
        <v>41</v>
      </c>
      <c r="E49" s="209">
        <f t="shared" ca="1" si="0"/>
        <v>5</v>
      </c>
      <c r="F49" s="10">
        <f t="shared" ca="1" si="6"/>
        <v>47529</v>
      </c>
      <c r="G49" s="156">
        <f t="shared" ca="1" si="7"/>
        <v>70162.179264000006</v>
      </c>
      <c r="H49" s="156">
        <f ca="1">SUM($G$8:G49)*gamma</f>
        <v>77722.49895552003</v>
      </c>
      <c r="I49" s="23">
        <f ca="1">MAX(0,ROUND($I$7-$H$7-H49-SUM($G$8:G49),0))</f>
        <v>8462028</v>
      </c>
      <c r="J49" s="208">
        <f t="shared" ca="1" si="1"/>
        <v>41</v>
      </c>
      <c r="K49" s="43"/>
    </row>
    <row r="50" spans="1:11" ht="15.75" customHeight="1" thickBot="1">
      <c r="A50" s="237">
        <f t="shared" ca="1" si="2"/>
        <v>47557</v>
      </c>
      <c r="B50" s="238">
        <f t="shared" ca="1" si="3"/>
        <v>70162</v>
      </c>
      <c r="C50" s="238">
        <f t="shared" ca="1" si="4"/>
        <v>8389760</v>
      </c>
      <c r="D50" s="155">
        <f t="shared" ca="1" si="5"/>
        <v>42</v>
      </c>
      <c r="E50" s="209">
        <f t="shared" ca="1" si="0"/>
        <v>6</v>
      </c>
      <c r="F50" s="10">
        <f t="shared" ca="1" si="6"/>
        <v>47557</v>
      </c>
      <c r="G50" s="156">
        <f t="shared" ca="1" si="7"/>
        <v>70162.179264000006</v>
      </c>
      <c r="H50" s="156">
        <f ca="1">SUM($G$8:G50)*gamma</f>
        <v>79827.36433344004</v>
      </c>
      <c r="I50" s="23">
        <f ca="1">MAX(0,ROUND($I$7-$H$7-H50-SUM($G$8:G50),0))</f>
        <v>8389760</v>
      </c>
      <c r="J50" s="208">
        <f t="shared" ca="1" si="1"/>
        <v>42</v>
      </c>
      <c r="K50" s="43"/>
    </row>
    <row r="51" spans="1:11" ht="15.75" customHeight="1" thickBot="1">
      <c r="A51" s="237">
        <f t="shared" ca="1" si="2"/>
        <v>47588</v>
      </c>
      <c r="B51" s="238">
        <f t="shared" ca="1" si="3"/>
        <v>70162</v>
      </c>
      <c r="C51" s="238">
        <f t="shared" ca="1" si="4"/>
        <v>8317493</v>
      </c>
      <c r="D51" s="155">
        <f t="shared" ca="1" si="5"/>
        <v>43</v>
      </c>
      <c r="E51" s="209">
        <f t="shared" ca="1" si="0"/>
        <v>7</v>
      </c>
      <c r="F51" s="10">
        <f t="shared" ca="1" si="6"/>
        <v>47588</v>
      </c>
      <c r="G51" s="156">
        <f t="shared" ca="1" si="7"/>
        <v>70162.179264000006</v>
      </c>
      <c r="H51" s="156">
        <f ca="1">SUM($G$8:G51)*gamma</f>
        <v>81932.229711360051</v>
      </c>
      <c r="I51" s="23">
        <f ca="1">MAX(0,ROUND($I$7-$H$7-H51-SUM($G$8:G51),0))</f>
        <v>8317493</v>
      </c>
      <c r="J51" s="208">
        <f t="shared" ca="1" si="1"/>
        <v>43</v>
      </c>
      <c r="K51" s="43"/>
    </row>
    <row r="52" spans="1:11" ht="15.75" customHeight="1" thickBot="1">
      <c r="A52" s="237">
        <f t="shared" ca="1" si="2"/>
        <v>47618</v>
      </c>
      <c r="B52" s="238">
        <f t="shared" ca="1" si="3"/>
        <v>70162</v>
      </c>
      <c r="C52" s="238">
        <f t="shared" ca="1" si="4"/>
        <v>8245226</v>
      </c>
      <c r="D52" s="155">
        <f t="shared" ca="1" si="5"/>
        <v>44</v>
      </c>
      <c r="E52" s="209">
        <f t="shared" ca="1" si="0"/>
        <v>8</v>
      </c>
      <c r="F52" s="10">
        <f t="shared" ca="1" si="6"/>
        <v>47618</v>
      </c>
      <c r="G52" s="156">
        <f t="shared" ca="1" si="7"/>
        <v>70162.179264000006</v>
      </c>
      <c r="H52" s="156">
        <f ca="1">SUM($G$8:G52)*gamma</f>
        <v>84037.095089280047</v>
      </c>
      <c r="I52" s="23">
        <f ca="1">MAX(0,ROUND($I$7-$H$7-H52-SUM($G$8:G52),0))</f>
        <v>8245226</v>
      </c>
      <c r="J52" s="208">
        <f t="shared" ca="1" si="1"/>
        <v>44</v>
      </c>
      <c r="K52" s="43"/>
    </row>
    <row r="53" spans="1:11" ht="15.75" customHeight="1" thickBot="1">
      <c r="A53" s="237">
        <f t="shared" ca="1" si="2"/>
        <v>47649</v>
      </c>
      <c r="B53" s="238">
        <f t="shared" ca="1" si="3"/>
        <v>70162</v>
      </c>
      <c r="C53" s="238">
        <f t="shared" ca="1" si="4"/>
        <v>8172959</v>
      </c>
      <c r="D53" s="155">
        <f t="shared" ca="1" si="5"/>
        <v>45</v>
      </c>
      <c r="E53" s="209">
        <f t="shared" ca="1" si="0"/>
        <v>9</v>
      </c>
      <c r="F53" s="10">
        <f t="shared" ca="1" si="6"/>
        <v>47649</v>
      </c>
      <c r="G53" s="156">
        <f t="shared" ca="1" si="7"/>
        <v>70162.179264000006</v>
      </c>
      <c r="H53" s="156">
        <f ca="1">SUM($G$8:G53)*gamma</f>
        <v>86141.960467200057</v>
      </c>
      <c r="I53" s="23">
        <f ca="1">MAX(0,ROUND($I$7-$H$7-H53-SUM($G$8:G53),0))</f>
        <v>8172959</v>
      </c>
      <c r="J53" s="208">
        <f t="shared" ca="1" si="1"/>
        <v>45</v>
      </c>
      <c r="K53" s="43"/>
    </row>
    <row r="54" spans="1:11" ht="15.75" customHeight="1" thickBot="1">
      <c r="A54" s="237">
        <f t="shared" ca="1" si="2"/>
        <v>47679</v>
      </c>
      <c r="B54" s="238">
        <f t="shared" ca="1" si="3"/>
        <v>70162</v>
      </c>
      <c r="C54" s="238">
        <f t="shared" ca="1" si="4"/>
        <v>8100692</v>
      </c>
      <c r="D54" s="155">
        <f t="shared" ca="1" si="5"/>
        <v>46</v>
      </c>
      <c r="E54" s="209">
        <f t="shared" ca="1" si="0"/>
        <v>10</v>
      </c>
      <c r="F54" s="10">
        <f t="shared" ca="1" si="6"/>
        <v>47679</v>
      </c>
      <c r="G54" s="156">
        <f t="shared" ca="1" si="7"/>
        <v>70162.179264000006</v>
      </c>
      <c r="H54" s="156">
        <f ca="1">SUM($G$8:G54)*gamma</f>
        <v>88246.825845120053</v>
      </c>
      <c r="I54" s="23">
        <f ca="1">MAX(0,ROUND($I$7-$H$7-H54-SUM($G$8:G54),0))</f>
        <v>8100692</v>
      </c>
      <c r="J54" s="208">
        <f t="shared" ca="1" si="1"/>
        <v>46</v>
      </c>
      <c r="K54" s="43"/>
    </row>
    <row r="55" spans="1:11" ht="15.75" customHeight="1" thickBot="1">
      <c r="A55" s="237">
        <f t="shared" ca="1" si="2"/>
        <v>47710</v>
      </c>
      <c r="B55" s="238">
        <f t="shared" ca="1" si="3"/>
        <v>70162</v>
      </c>
      <c r="C55" s="238">
        <f t="shared" ca="1" si="4"/>
        <v>8028425</v>
      </c>
      <c r="D55" s="155">
        <f t="shared" ca="1" si="5"/>
        <v>47</v>
      </c>
      <c r="E55" s="209">
        <f t="shared" ca="1" si="0"/>
        <v>11</v>
      </c>
      <c r="F55" s="10">
        <f t="shared" ca="1" si="6"/>
        <v>47710</v>
      </c>
      <c r="G55" s="156">
        <f t="shared" ca="1" si="7"/>
        <v>70162.179264000006</v>
      </c>
      <c r="H55" s="156">
        <f ca="1">SUM($G$8:G55)*gamma</f>
        <v>90351.691223040063</v>
      </c>
      <c r="I55" s="23">
        <f ca="1">MAX(0,ROUND($I$7-$H$7-H55-SUM($G$8:G55),0))</f>
        <v>8028425</v>
      </c>
      <c r="J55" s="208">
        <f t="shared" ca="1" si="1"/>
        <v>47</v>
      </c>
      <c r="K55" s="43"/>
    </row>
    <row r="56" spans="1:11" ht="15.75" customHeight="1" thickBot="1">
      <c r="A56" s="237">
        <f t="shared" ca="1" si="2"/>
        <v>47741</v>
      </c>
      <c r="B56" s="238">
        <f t="shared" ca="1" si="3"/>
        <v>75775</v>
      </c>
      <c r="C56" s="238">
        <f t="shared" ca="1" si="4"/>
        <v>7950377</v>
      </c>
      <c r="D56" s="155">
        <f t="shared" ca="1" si="5"/>
        <v>48</v>
      </c>
      <c r="E56" s="209">
        <f t="shared" ca="1" si="0"/>
        <v>0</v>
      </c>
      <c r="F56" s="10">
        <f t="shared" ca="1" si="6"/>
        <v>47741</v>
      </c>
      <c r="G56" s="156">
        <f t="shared" ca="1" si="7"/>
        <v>75775.153605120009</v>
      </c>
      <c r="H56" s="156">
        <f ca="1">SUM($G$8:G56)*gamma</f>
        <v>92624.945831193661</v>
      </c>
      <c r="I56" s="23">
        <f ca="1">MAX(0,ROUND($I$7-$H$7-H56-SUM($G$8:G56),0))</f>
        <v>7950377</v>
      </c>
      <c r="J56" s="208">
        <f t="shared" ca="1" si="1"/>
        <v>48</v>
      </c>
      <c r="K56" s="43"/>
    </row>
    <row r="57" spans="1:11" ht="15.75" customHeight="1" thickBot="1">
      <c r="A57" s="237">
        <f t="shared" ca="1" si="2"/>
        <v>47771</v>
      </c>
      <c r="B57" s="238">
        <f t="shared" ca="1" si="3"/>
        <v>75775</v>
      </c>
      <c r="C57" s="238">
        <f t="shared" ca="1" si="4"/>
        <v>7872328</v>
      </c>
      <c r="D57" s="155">
        <f t="shared" ca="1" si="5"/>
        <v>49</v>
      </c>
      <c r="E57" s="209">
        <f t="shared" ca="1" si="0"/>
        <v>1</v>
      </c>
      <c r="F57" s="10">
        <f t="shared" ca="1" si="6"/>
        <v>47771</v>
      </c>
      <c r="G57" s="156">
        <f t="shared" ca="1" si="7"/>
        <v>75775.153605120009</v>
      </c>
      <c r="H57" s="156">
        <f ca="1">SUM($G$8:G57)*gamma</f>
        <v>94898.200439347245</v>
      </c>
      <c r="I57" s="23">
        <f ca="1">MAX(0,ROUND($I$7-$H$7-H57-SUM($G$8:G57),0))</f>
        <v>7872328</v>
      </c>
      <c r="J57" s="208">
        <f t="shared" ca="1" si="1"/>
        <v>49</v>
      </c>
      <c r="K57" s="43"/>
    </row>
    <row r="58" spans="1:11" ht="15.75" customHeight="1" thickBot="1">
      <c r="A58" s="237">
        <f t="shared" ca="1" si="2"/>
        <v>47802</v>
      </c>
      <c r="B58" s="238">
        <f t="shared" ca="1" si="3"/>
        <v>75775</v>
      </c>
      <c r="C58" s="238">
        <f t="shared" ca="1" si="4"/>
        <v>7794280</v>
      </c>
      <c r="D58" s="155">
        <f t="shared" ca="1" si="5"/>
        <v>50</v>
      </c>
      <c r="E58" s="209">
        <f t="shared" ca="1" si="0"/>
        <v>2</v>
      </c>
      <c r="F58" s="10">
        <f t="shared" ca="1" si="6"/>
        <v>47802</v>
      </c>
      <c r="G58" s="156">
        <f t="shared" ca="1" si="7"/>
        <v>75775.153605120009</v>
      </c>
      <c r="H58" s="156">
        <f ca="1">SUM($G$8:G58)*gamma</f>
        <v>97171.455047500844</v>
      </c>
      <c r="I58" s="23">
        <f ca="1">MAX(0,ROUND($I$7-$H$7-H58-SUM($G$8:G58),0))</f>
        <v>7794280</v>
      </c>
      <c r="J58" s="208">
        <f t="shared" ca="1" si="1"/>
        <v>50</v>
      </c>
      <c r="K58" s="43"/>
    </row>
    <row r="59" spans="1:11" ht="15.75" customHeight="1" thickBot="1">
      <c r="A59" s="237">
        <f t="shared" ca="1" si="2"/>
        <v>47832</v>
      </c>
      <c r="B59" s="238">
        <f t="shared" ca="1" si="3"/>
        <v>75775</v>
      </c>
      <c r="C59" s="238">
        <f t="shared" ca="1" si="4"/>
        <v>7716232</v>
      </c>
      <c r="D59" s="155">
        <f t="shared" ca="1" si="5"/>
        <v>51</v>
      </c>
      <c r="E59" s="209">
        <f t="shared" ca="1" si="0"/>
        <v>3</v>
      </c>
      <c r="F59" s="10">
        <f t="shared" ca="1" si="6"/>
        <v>47832</v>
      </c>
      <c r="G59" s="156">
        <f t="shared" ca="1" si="7"/>
        <v>75775.153605120009</v>
      </c>
      <c r="H59" s="156">
        <f ca="1">SUM($G$8:G59)*gamma</f>
        <v>99444.709655654442</v>
      </c>
      <c r="I59" s="23">
        <f ca="1">MAX(0,ROUND($I$7-$H$7-H59-SUM($G$8:G59),0))</f>
        <v>7716232</v>
      </c>
      <c r="J59" s="208">
        <f t="shared" ca="1" si="1"/>
        <v>51</v>
      </c>
      <c r="K59" s="43"/>
    </row>
    <row r="60" spans="1:11" ht="15.75" customHeight="1" thickBot="1">
      <c r="A60" s="237">
        <f t="shared" ca="1" si="2"/>
        <v>47863</v>
      </c>
      <c r="B60" s="238">
        <f t="shared" ca="1" si="3"/>
        <v>75775</v>
      </c>
      <c r="C60" s="238">
        <f t="shared" ca="1" si="4"/>
        <v>7638183</v>
      </c>
      <c r="D60" s="155">
        <f t="shared" ca="1" si="5"/>
        <v>52</v>
      </c>
      <c r="E60" s="209">
        <f t="shared" ca="1" si="0"/>
        <v>4</v>
      </c>
      <c r="F60" s="10">
        <f t="shared" ca="1" si="6"/>
        <v>47863</v>
      </c>
      <c r="G60" s="156">
        <f t="shared" ca="1" si="7"/>
        <v>75775.153605120009</v>
      </c>
      <c r="H60" s="156">
        <f ca="1">SUM($G$8:G60)*gamma</f>
        <v>101717.96426380803</v>
      </c>
      <c r="I60" s="23">
        <f ca="1">MAX(0,ROUND($I$7-$H$7-H60-SUM($G$8:G60),0))</f>
        <v>7638183</v>
      </c>
      <c r="J60" s="208">
        <f t="shared" ca="1" si="1"/>
        <v>52</v>
      </c>
      <c r="K60" s="43"/>
    </row>
    <row r="61" spans="1:11" ht="15.75" customHeight="1" thickBot="1">
      <c r="A61" s="237">
        <f t="shared" ca="1" si="2"/>
        <v>47894</v>
      </c>
      <c r="B61" s="238">
        <f t="shared" ca="1" si="3"/>
        <v>75775</v>
      </c>
      <c r="C61" s="238">
        <f t="shared" ca="1" si="4"/>
        <v>7560135</v>
      </c>
      <c r="D61" s="155">
        <f t="shared" ca="1" si="5"/>
        <v>53</v>
      </c>
      <c r="E61" s="209">
        <f t="shared" ca="1" si="0"/>
        <v>5</v>
      </c>
      <c r="F61" s="10">
        <f t="shared" ca="1" si="6"/>
        <v>47894</v>
      </c>
      <c r="G61" s="156">
        <f t="shared" ca="1" si="7"/>
        <v>75775.153605120009</v>
      </c>
      <c r="H61" s="156">
        <f ca="1">SUM($G$8:G61)*gamma</f>
        <v>103991.21887196162</v>
      </c>
      <c r="I61" s="23">
        <f ca="1">MAX(0,ROUND($I$7-$H$7-H61-SUM($G$8:G61),0))</f>
        <v>7560135</v>
      </c>
      <c r="J61" s="208">
        <f t="shared" ca="1" si="1"/>
        <v>53</v>
      </c>
      <c r="K61" s="43"/>
    </row>
    <row r="62" spans="1:11" ht="15.75" customHeight="1" thickBot="1">
      <c r="A62" s="237">
        <f t="shared" ca="1" si="2"/>
        <v>47922</v>
      </c>
      <c r="B62" s="238">
        <f t="shared" ca="1" si="3"/>
        <v>75775</v>
      </c>
      <c r="C62" s="238">
        <f t="shared" ca="1" si="4"/>
        <v>7482086</v>
      </c>
      <c r="D62" s="155">
        <f t="shared" ca="1" si="5"/>
        <v>54</v>
      </c>
      <c r="E62" s="209">
        <f t="shared" ca="1" si="0"/>
        <v>6</v>
      </c>
      <c r="F62" s="10">
        <f t="shared" ca="1" si="6"/>
        <v>47922</v>
      </c>
      <c r="G62" s="156">
        <f t="shared" ca="1" si="7"/>
        <v>75775.153605120009</v>
      </c>
      <c r="H62" s="156">
        <f ca="1">SUM($G$8:G62)*gamma</f>
        <v>106264.47348011522</v>
      </c>
      <c r="I62" s="23">
        <f ca="1">MAX(0,ROUND($I$7-$H$7-H62-SUM($G$8:G62),0))</f>
        <v>7482086</v>
      </c>
      <c r="J62" s="208">
        <f t="shared" ca="1" si="1"/>
        <v>54</v>
      </c>
      <c r="K62" s="43"/>
    </row>
    <row r="63" spans="1:11" ht="15.75" customHeight="1" thickBot="1">
      <c r="A63" s="237">
        <f t="shared" ca="1" si="2"/>
        <v>47953</v>
      </c>
      <c r="B63" s="238">
        <f t="shared" ca="1" si="3"/>
        <v>75775</v>
      </c>
      <c r="C63" s="238">
        <f t="shared" ca="1" si="4"/>
        <v>7404038</v>
      </c>
      <c r="D63" s="155">
        <f t="shared" ca="1" si="5"/>
        <v>55</v>
      </c>
      <c r="E63" s="209">
        <f t="shared" ca="1" si="0"/>
        <v>7</v>
      </c>
      <c r="F63" s="10">
        <f t="shared" ca="1" si="6"/>
        <v>47953</v>
      </c>
      <c r="G63" s="156">
        <f t="shared" ca="1" si="7"/>
        <v>75775.153605120009</v>
      </c>
      <c r="H63" s="156">
        <f ca="1">SUM($G$8:G63)*gamma</f>
        <v>108537.72808826881</v>
      </c>
      <c r="I63" s="23">
        <f ca="1">MAX(0,ROUND($I$7-$H$7-H63-SUM($G$8:G63),0))</f>
        <v>7404038</v>
      </c>
      <c r="J63" s="208">
        <f t="shared" ca="1" si="1"/>
        <v>55</v>
      </c>
      <c r="K63" s="43"/>
    </row>
    <row r="64" spans="1:11" ht="15.75" customHeight="1" thickBot="1">
      <c r="A64" s="237">
        <f t="shared" ca="1" si="2"/>
        <v>47983</v>
      </c>
      <c r="B64" s="238">
        <f t="shared" ca="1" si="3"/>
        <v>75775</v>
      </c>
      <c r="C64" s="238">
        <f t="shared" ca="1" si="4"/>
        <v>7325990</v>
      </c>
      <c r="D64" s="155">
        <f t="shared" ca="1" si="5"/>
        <v>56</v>
      </c>
      <c r="E64" s="209">
        <f t="shared" ca="1" si="0"/>
        <v>8</v>
      </c>
      <c r="F64" s="10">
        <f t="shared" ca="1" si="6"/>
        <v>47983</v>
      </c>
      <c r="G64" s="156">
        <f t="shared" ca="1" si="7"/>
        <v>75775.153605120009</v>
      </c>
      <c r="H64" s="156">
        <f ca="1">SUM($G$8:G64)*gamma</f>
        <v>110810.9826964224</v>
      </c>
      <c r="I64" s="23">
        <f ca="1">MAX(0,ROUND($I$7-$H$7-H64-SUM($G$8:G64),0))</f>
        <v>7325990</v>
      </c>
      <c r="J64" s="208">
        <f t="shared" ca="1" si="1"/>
        <v>56</v>
      </c>
      <c r="K64" s="43"/>
    </row>
    <row r="65" spans="1:12" ht="15.75" customHeight="1" thickBot="1">
      <c r="A65" s="237">
        <f t="shared" ca="1" si="2"/>
        <v>48014</v>
      </c>
      <c r="B65" s="238">
        <f t="shared" ca="1" si="3"/>
        <v>75775</v>
      </c>
      <c r="C65" s="238">
        <f t="shared" ca="1" si="4"/>
        <v>7247941</v>
      </c>
      <c r="D65" s="155">
        <f t="shared" ca="1" si="5"/>
        <v>57</v>
      </c>
      <c r="E65" s="209">
        <f t="shared" ca="1" si="0"/>
        <v>9</v>
      </c>
      <c r="F65" s="10">
        <f t="shared" ca="1" si="6"/>
        <v>48014</v>
      </c>
      <c r="G65" s="156">
        <f t="shared" ca="1" si="7"/>
        <v>75775.153605120009</v>
      </c>
      <c r="H65" s="156">
        <f ca="1">SUM($G$8:G65)*gamma</f>
        <v>113084.237304576</v>
      </c>
      <c r="I65" s="23">
        <f ca="1">MAX(0,ROUND($I$7-$H$7-H65-SUM($G$8:G65),0))</f>
        <v>7247941</v>
      </c>
      <c r="J65" s="208">
        <f t="shared" ca="1" si="1"/>
        <v>57</v>
      </c>
      <c r="K65" s="43"/>
    </row>
    <row r="66" spans="1:12" ht="15.75" customHeight="1" thickBot="1">
      <c r="A66" s="237">
        <f t="shared" ca="1" si="2"/>
        <v>48044</v>
      </c>
      <c r="B66" s="238">
        <f t="shared" ca="1" si="3"/>
        <v>75775</v>
      </c>
      <c r="C66" s="238">
        <f t="shared" ca="1" si="4"/>
        <v>7169893</v>
      </c>
      <c r="D66" s="155">
        <f t="shared" ca="1" si="5"/>
        <v>58</v>
      </c>
      <c r="E66" s="209">
        <f t="shared" ca="1" si="0"/>
        <v>10</v>
      </c>
      <c r="F66" s="10">
        <f t="shared" ca="1" si="6"/>
        <v>48044</v>
      </c>
      <c r="G66" s="156">
        <f t="shared" ca="1" si="7"/>
        <v>75775.153605120009</v>
      </c>
      <c r="H66" s="156">
        <f ca="1">SUM($G$8:G66)*gamma</f>
        <v>115357.49191272959</v>
      </c>
      <c r="I66" s="23">
        <f ca="1">MAX(0,ROUND($I$7-$H$7-H66-SUM($G$8:G66),0))</f>
        <v>7169893</v>
      </c>
      <c r="J66" s="208">
        <f t="shared" ca="1" si="1"/>
        <v>58</v>
      </c>
      <c r="K66" s="43"/>
    </row>
    <row r="67" spans="1:12" ht="15.75" customHeight="1" thickBot="1">
      <c r="A67" s="237">
        <f t="shared" ca="1" si="2"/>
        <v>48075</v>
      </c>
      <c r="B67" s="238">
        <f t="shared" ca="1" si="3"/>
        <v>75775</v>
      </c>
      <c r="C67" s="238">
        <f t="shared" ca="1" si="4"/>
        <v>7091844</v>
      </c>
      <c r="D67" s="155">
        <f t="shared" ca="1" si="5"/>
        <v>59</v>
      </c>
      <c r="E67" s="209">
        <f t="shared" ca="1" si="0"/>
        <v>11</v>
      </c>
      <c r="F67" s="10">
        <f t="shared" ca="1" si="6"/>
        <v>48075</v>
      </c>
      <c r="G67" s="156">
        <f t="shared" ca="1" si="7"/>
        <v>75775.153605120009</v>
      </c>
      <c r="H67" s="156">
        <f ca="1">SUM($G$8:G67)*gamma</f>
        <v>117630.74652088319</v>
      </c>
      <c r="I67" s="23">
        <f ca="1">MAX(0,ROUND($I$7-$H$7-H67-SUM($G$8:G67),0))</f>
        <v>7091844</v>
      </c>
      <c r="J67" s="208">
        <f t="shared" ca="1" si="1"/>
        <v>59</v>
      </c>
      <c r="K67" s="43"/>
    </row>
    <row r="68" spans="1:12" ht="15.75" customHeight="1" thickBot="1">
      <c r="A68" s="237">
        <f t="shared" ca="1" si="2"/>
        <v>48106</v>
      </c>
      <c r="B68" s="238">
        <f t="shared" ca="1" si="3"/>
        <v>81837</v>
      </c>
      <c r="C68" s="238">
        <f t="shared" ca="1" si="4"/>
        <v>7007552</v>
      </c>
      <c r="D68" s="155">
        <f t="shared" ca="1" si="5"/>
        <v>60</v>
      </c>
      <c r="E68" s="209">
        <f t="shared" ca="1" si="0"/>
        <v>0</v>
      </c>
      <c r="F68" s="10">
        <f t="shared" ca="1" si="6"/>
        <v>48106</v>
      </c>
      <c r="G68" s="156">
        <f t="shared" ca="1" si="7"/>
        <v>81837.165893529615</v>
      </c>
      <c r="H68" s="156">
        <f ca="1">SUM($G$8:G68)*gamma</f>
        <v>120085.86149768907</v>
      </c>
      <c r="I68" s="23">
        <f ca="1">MAX(0,ROUND($I$7-$H$7-H68-SUM($G$8:G68),0))</f>
        <v>7007552</v>
      </c>
      <c r="J68" s="208">
        <f t="shared" ca="1" si="1"/>
        <v>60</v>
      </c>
      <c r="K68" s="43"/>
      <c r="L68" s="36"/>
    </row>
    <row r="69" spans="1:12" ht="15.75" customHeight="1" thickBot="1">
      <c r="A69" s="237">
        <f t="shared" ca="1" si="2"/>
        <v>48136</v>
      </c>
      <c r="B69" s="238">
        <f t="shared" ca="1" si="3"/>
        <v>81837</v>
      </c>
      <c r="C69" s="238">
        <f t="shared" ca="1" si="4"/>
        <v>6923260</v>
      </c>
      <c r="D69" s="155">
        <f t="shared" ca="1" si="5"/>
        <v>61</v>
      </c>
      <c r="E69" s="209">
        <f t="shared" ca="1" si="0"/>
        <v>1</v>
      </c>
      <c r="F69" s="10">
        <f t="shared" ca="1" si="6"/>
        <v>48136</v>
      </c>
      <c r="G69" s="156">
        <f t="shared" ca="1" si="7"/>
        <v>81837.165893529615</v>
      </c>
      <c r="H69" s="156">
        <f ca="1">SUM($G$8:G69)*gamma</f>
        <v>122540.97647449496</v>
      </c>
      <c r="I69" s="23">
        <f ca="1">MAX(0,ROUND($I$7-$H$7-H69-SUM($G$8:G69),0))</f>
        <v>6923260</v>
      </c>
      <c r="J69" s="208">
        <f t="shared" ca="1" si="1"/>
        <v>61</v>
      </c>
    </row>
    <row r="70" spans="1:12" ht="15.75" customHeight="1" thickBot="1">
      <c r="A70" s="237">
        <f t="shared" ca="1" si="2"/>
        <v>48167</v>
      </c>
      <c r="B70" s="238">
        <f t="shared" ca="1" si="3"/>
        <v>81837</v>
      </c>
      <c r="C70" s="238">
        <f t="shared" ca="1" si="4"/>
        <v>6838968</v>
      </c>
      <c r="D70" s="155">
        <f t="shared" ca="1" si="5"/>
        <v>62</v>
      </c>
      <c r="E70" s="209">
        <f t="shared" ca="1" si="0"/>
        <v>2</v>
      </c>
      <c r="F70" s="10">
        <f t="shared" ca="1" si="6"/>
        <v>48167</v>
      </c>
      <c r="G70" s="156">
        <f t="shared" ca="1" si="7"/>
        <v>81837.165893529615</v>
      </c>
      <c r="H70" s="156">
        <f ca="1">SUM($G$8:G70)*gamma</f>
        <v>124996.09145130085</v>
      </c>
      <c r="I70" s="23">
        <f ca="1">MAX(0,ROUND($I$7-$H$7-H70-SUM($G$8:G70),0))</f>
        <v>6838968</v>
      </c>
      <c r="J70" s="208">
        <f t="shared" ca="1" si="1"/>
        <v>62</v>
      </c>
    </row>
    <row r="71" spans="1:12" ht="15.75" customHeight="1" thickBot="1">
      <c r="A71" s="237">
        <f t="shared" ca="1" si="2"/>
        <v>48197</v>
      </c>
      <c r="B71" s="238">
        <f t="shared" ca="1" si="3"/>
        <v>81837</v>
      </c>
      <c r="C71" s="238">
        <f t="shared" ca="1" si="4"/>
        <v>6754675</v>
      </c>
      <c r="D71" s="155">
        <f t="shared" ca="1" si="5"/>
        <v>63</v>
      </c>
      <c r="E71" s="209">
        <f t="shared" ca="1" si="0"/>
        <v>3</v>
      </c>
      <c r="F71" s="10">
        <f t="shared" ca="1" si="6"/>
        <v>48197</v>
      </c>
      <c r="G71" s="156">
        <f t="shared" ca="1" si="7"/>
        <v>81837.165893529615</v>
      </c>
      <c r="H71" s="156">
        <f ca="1">SUM($G$8:G71)*gamma</f>
        <v>127451.20642810673</v>
      </c>
      <c r="I71" s="23">
        <f ca="1">MAX(0,ROUND($I$7-$H$7-H71-SUM($G$8:G71),0))</f>
        <v>6754675</v>
      </c>
      <c r="J71" s="208">
        <f t="shared" ca="1" si="1"/>
        <v>63</v>
      </c>
    </row>
    <row r="72" spans="1:12" ht="15.75" customHeight="1" thickBot="1">
      <c r="A72" s="237">
        <f t="shared" ca="1" si="2"/>
        <v>48228</v>
      </c>
      <c r="B72" s="238">
        <f t="shared" ca="1" si="3"/>
        <v>81837</v>
      </c>
      <c r="C72" s="238">
        <f t="shared" ca="1" si="4"/>
        <v>6670383</v>
      </c>
      <c r="D72" s="155">
        <f t="shared" ca="1" si="5"/>
        <v>64</v>
      </c>
      <c r="E72" s="209">
        <f t="shared" ref="E72:E135" ca="1" si="8">MOD(J72,12)</f>
        <v>4</v>
      </c>
      <c r="F72" s="10">
        <f t="shared" ca="1" si="6"/>
        <v>48228</v>
      </c>
      <c r="G72" s="156">
        <f t="shared" ca="1" si="7"/>
        <v>81837.165893529615</v>
      </c>
      <c r="H72" s="156">
        <f ca="1">SUM($G$8:G72)*gamma</f>
        <v>129906.32140491261</v>
      </c>
      <c r="I72" s="23">
        <f ca="1">MAX(0,ROUND($I$7-$H$7-H72-SUM($G$8:G72),0))</f>
        <v>6670383</v>
      </c>
      <c r="J72" s="208">
        <f t="shared" ref="J72:J135" ca="1" si="9">IF(G71&gt;0,1+J71,0)</f>
        <v>64</v>
      </c>
    </row>
    <row r="73" spans="1:12" ht="15.75" customHeight="1" thickBot="1">
      <c r="A73" s="237">
        <f t="shared" ref="A73:A136" ca="1" si="10">IF(d_plast&gt;=F73,F73,"")</f>
        <v>48259</v>
      </c>
      <c r="B73" s="238">
        <f t="shared" ref="B73:B136" ca="1" si="11">IF(A73="","",ROUND(G73,0))</f>
        <v>81837</v>
      </c>
      <c r="C73" s="238">
        <f t="shared" ref="C73:C136" ca="1" si="12">IF(A73&lt;&gt;"",IF(end=2,IF(D73&lt;24,0,I73),I73),"")</f>
        <v>6586091</v>
      </c>
      <c r="D73" s="155">
        <f t="shared" ref="D73:D136" ca="1" si="13">D72+freq_2</f>
        <v>65</v>
      </c>
      <c r="E73" s="209">
        <f t="shared" ca="1" si="8"/>
        <v>5</v>
      </c>
      <c r="F73" s="10">
        <f t="shared" ref="F73:F136" ca="1" si="14">EDATE($F$8,D73)</f>
        <v>48259</v>
      </c>
      <c r="G73" s="156">
        <f t="shared" ref="G73:G136" ca="1" si="15">IF(A73&lt;d_begin,0,IF(G72=0,Ben,IF(E73=0,G72*(1+index),G72)))</f>
        <v>81837.165893529615</v>
      </c>
      <c r="H73" s="156">
        <f ca="1">SUM($G$8:G73)*gamma</f>
        <v>132361.43638171849</v>
      </c>
      <c r="I73" s="23">
        <f ca="1">MAX(0,ROUND($I$7-$H$7-H73-SUM($G$8:G73),0))</f>
        <v>6586091</v>
      </c>
      <c r="J73" s="208">
        <f t="shared" ca="1" si="9"/>
        <v>65</v>
      </c>
    </row>
    <row r="74" spans="1:12" ht="15.75" customHeight="1" thickBot="1">
      <c r="A74" s="237">
        <f t="shared" ca="1" si="10"/>
        <v>48288</v>
      </c>
      <c r="B74" s="238">
        <f t="shared" ca="1" si="11"/>
        <v>81837</v>
      </c>
      <c r="C74" s="238">
        <f t="shared" ca="1" si="12"/>
        <v>6501798</v>
      </c>
      <c r="D74" s="155">
        <f t="shared" ca="1" si="13"/>
        <v>66</v>
      </c>
      <c r="E74" s="209">
        <f t="shared" ca="1" si="8"/>
        <v>6</v>
      </c>
      <c r="F74" s="10">
        <f t="shared" ca="1" si="14"/>
        <v>48288</v>
      </c>
      <c r="G74" s="156">
        <f t="shared" ca="1" si="15"/>
        <v>81837.165893529615</v>
      </c>
      <c r="H74" s="156">
        <f ca="1">SUM($G$8:G74)*gamma</f>
        <v>134816.55135852439</v>
      </c>
      <c r="I74" s="23">
        <f ca="1">MAX(0,ROUND($I$7-$H$7-H74-SUM($G$8:G74),0))</f>
        <v>6501798</v>
      </c>
      <c r="J74" s="208">
        <f t="shared" ca="1" si="9"/>
        <v>66</v>
      </c>
    </row>
    <row r="75" spans="1:12" ht="15.75" customHeight="1" thickBot="1">
      <c r="A75" s="237">
        <f t="shared" ca="1" si="10"/>
        <v>48319</v>
      </c>
      <c r="B75" s="238">
        <f t="shared" ca="1" si="11"/>
        <v>81837</v>
      </c>
      <c r="C75" s="238">
        <f t="shared" ca="1" si="12"/>
        <v>6417506</v>
      </c>
      <c r="D75" s="155">
        <f t="shared" ca="1" si="13"/>
        <v>67</v>
      </c>
      <c r="E75" s="209">
        <f t="shared" ca="1" si="8"/>
        <v>7</v>
      </c>
      <c r="F75" s="10">
        <f t="shared" ca="1" si="14"/>
        <v>48319</v>
      </c>
      <c r="G75" s="156">
        <f t="shared" ca="1" si="15"/>
        <v>81837.165893529615</v>
      </c>
      <c r="H75" s="156">
        <f ca="1">SUM($G$8:G75)*gamma</f>
        <v>137271.66633533029</v>
      </c>
      <c r="I75" s="23">
        <f ca="1">MAX(0,ROUND($I$7-$H$7-H75-SUM($G$8:G75),0))</f>
        <v>6417506</v>
      </c>
      <c r="J75" s="208">
        <f t="shared" ca="1" si="9"/>
        <v>67</v>
      </c>
    </row>
    <row r="76" spans="1:12" ht="15.75" customHeight="1" thickBot="1">
      <c r="A76" s="237">
        <f t="shared" ca="1" si="10"/>
        <v>48349</v>
      </c>
      <c r="B76" s="238">
        <f t="shared" ca="1" si="11"/>
        <v>81837</v>
      </c>
      <c r="C76" s="238">
        <f t="shared" ca="1" si="12"/>
        <v>6333214</v>
      </c>
      <c r="D76" s="155">
        <f t="shared" ca="1" si="13"/>
        <v>68</v>
      </c>
      <c r="E76" s="209">
        <f t="shared" ca="1" si="8"/>
        <v>8</v>
      </c>
      <c r="F76" s="10">
        <f t="shared" ca="1" si="14"/>
        <v>48349</v>
      </c>
      <c r="G76" s="156">
        <f t="shared" ca="1" si="15"/>
        <v>81837.165893529615</v>
      </c>
      <c r="H76" s="156">
        <f ca="1">SUM($G$8:G76)*gamma</f>
        <v>139726.78131213615</v>
      </c>
      <c r="I76" s="23">
        <f ca="1">MAX(0,ROUND($I$7-$H$7-H76-SUM($G$8:G76),0))</f>
        <v>6333214</v>
      </c>
      <c r="J76" s="208">
        <f t="shared" ca="1" si="9"/>
        <v>68</v>
      </c>
    </row>
    <row r="77" spans="1:12" ht="15.75" customHeight="1" thickBot="1">
      <c r="A77" s="237">
        <f t="shared" ca="1" si="10"/>
        <v>48380</v>
      </c>
      <c r="B77" s="238">
        <f t="shared" ca="1" si="11"/>
        <v>81837</v>
      </c>
      <c r="C77" s="238">
        <f t="shared" ca="1" si="12"/>
        <v>6248922</v>
      </c>
      <c r="D77" s="155">
        <f t="shared" ca="1" si="13"/>
        <v>69</v>
      </c>
      <c r="E77" s="209">
        <f t="shared" ca="1" si="8"/>
        <v>9</v>
      </c>
      <c r="F77" s="10">
        <f t="shared" ca="1" si="14"/>
        <v>48380</v>
      </c>
      <c r="G77" s="156">
        <f t="shared" ca="1" si="15"/>
        <v>81837.165893529615</v>
      </c>
      <c r="H77" s="156">
        <f ca="1">SUM($G$8:G77)*gamma</f>
        <v>142181.89628894205</v>
      </c>
      <c r="I77" s="23">
        <f ca="1">MAX(0,ROUND($I$7-$H$7-H77-SUM($G$8:G77),0))</f>
        <v>6248922</v>
      </c>
      <c r="J77" s="208">
        <f t="shared" ca="1" si="9"/>
        <v>69</v>
      </c>
    </row>
    <row r="78" spans="1:12" ht="15.75" customHeight="1" thickBot="1">
      <c r="A78" s="237">
        <f t="shared" ca="1" si="10"/>
        <v>48410</v>
      </c>
      <c r="B78" s="238">
        <f t="shared" ca="1" si="11"/>
        <v>81837</v>
      </c>
      <c r="C78" s="238">
        <f t="shared" ca="1" si="12"/>
        <v>6164629</v>
      </c>
      <c r="D78" s="155">
        <f t="shared" ca="1" si="13"/>
        <v>70</v>
      </c>
      <c r="E78" s="209">
        <f t="shared" ca="1" si="8"/>
        <v>10</v>
      </c>
      <c r="F78" s="10">
        <f t="shared" ca="1" si="14"/>
        <v>48410</v>
      </c>
      <c r="G78" s="156">
        <f t="shared" ca="1" si="15"/>
        <v>81837.165893529615</v>
      </c>
      <c r="H78" s="156">
        <f ca="1">SUM($G$8:G78)*gamma</f>
        <v>144637.01126574792</v>
      </c>
      <c r="I78" s="23">
        <f ca="1">MAX(0,ROUND($I$7-$H$7-H78-SUM($G$8:G78),0))</f>
        <v>6164629</v>
      </c>
      <c r="J78" s="208">
        <f t="shared" ca="1" si="9"/>
        <v>70</v>
      </c>
    </row>
    <row r="79" spans="1:12" ht="15.75" customHeight="1" thickBot="1">
      <c r="A79" s="237">
        <f t="shared" ca="1" si="10"/>
        <v>48441</v>
      </c>
      <c r="B79" s="238">
        <f t="shared" ca="1" si="11"/>
        <v>81837</v>
      </c>
      <c r="C79" s="238">
        <f t="shared" ca="1" si="12"/>
        <v>6080337</v>
      </c>
      <c r="D79" s="155">
        <f t="shared" ca="1" si="13"/>
        <v>71</v>
      </c>
      <c r="E79" s="209">
        <f t="shared" ca="1" si="8"/>
        <v>11</v>
      </c>
      <c r="F79" s="10">
        <f t="shared" ca="1" si="14"/>
        <v>48441</v>
      </c>
      <c r="G79" s="156">
        <f t="shared" ca="1" si="15"/>
        <v>81837.165893529615</v>
      </c>
      <c r="H79" s="156">
        <f ca="1">SUM($G$8:G79)*gamma</f>
        <v>147092.12624255382</v>
      </c>
      <c r="I79" s="23">
        <f ca="1">MAX(0,ROUND($I$7-$H$7-H79-SUM($G$8:G79),0))</f>
        <v>6080337</v>
      </c>
      <c r="J79" s="208">
        <f t="shared" ca="1" si="9"/>
        <v>71</v>
      </c>
    </row>
    <row r="80" spans="1:12" ht="15.75" customHeight="1" thickBot="1">
      <c r="A80" s="237">
        <f t="shared" ca="1" si="10"/>
        <v>48472</v>
      </c>
      <c r="B80" s="238">
        <f t="shared" ca="1" si="11"/>
        <v>88384</v>
      </c>
      <c r="C80" s="238">
        <f t="shared" ca="1" si="12"/>
        <v>5989301</v>
      </c>
      <c r="D80" s="155">
        <f t="shared" ca="1" si="13"/>
        <v>72</v>
      </c>
      <c r="E80" s="209">
        <f t="shared" ca="1" si="8"/>
        <v>0</v>
      </c>
      <c r="F80" s="10">
        <f t="shared" ca="1" si="14"/>
        <v>48472</v>
      </c>
      <c r="G80" s="156">
        <f t="shared" ca="1" si="15"/>
        <v>88384.139165011991</v>
      </c>
      <c r="H80" s="156">
        <f ca="1">SUM($G$8:G80)*gamma</f>
        <v>149743.65041750419</v>
      </c>
      <c r="I80" s="23">
        <f ca="1">MAX(0,ROUND($I$7-$H$7-H80-SUM($G$8:G80),0))</f>
        <v>5989301</v>
      </c>
      <c r="J80" s="208">
        <f t="shared" ca="1" si="9"/>
        <v>72</v>
      </c>
    </row>
    <row r="81" spans="1:10" ht="15.75" customHeight="1" thickBot="1">
      <c r="A81" s="237">
        <f t="shared" ca="1" si="10"/>
        <v>48502</v>
      </c>
      <c r="B81" s="238">
        <f t="shared" ca="1" si="11"/>
        <v>88384</v>
      </c>
      <c r="C81" s="238">
        <f t="shared" ca="1" si="12"/>
        <v>5898266</v>
      </c>
      <c r="D81" s="155">
        <f t="shared" ca="1" si="13"/>
        <v>73</v>
      </c>
      <c r="E81" s="209">
        <f t="shared" ca="1" si="8"/>
        <v>1</v>
      </c>
      <c r="F81" s="10">
        <f t="shared" ca="1" si="14"/>
        <v>48502</v>
      </c>
      <c r="G81" s="156">
        <f t="shared" ca="1" si="15"/>
        <v>88384.139165011991</v>
      </c>
      <c r="H81" s="156">
        <f ca="1">SUM($G$8:G81)*gamma</f>
        <v>152395.17459245454</v>
      </c>
      <c r="I81" s="23">
        <f ca="1">MAX(0,ROUND($I$7-$H$7-H81-SUM($G$8:G81),0))</f>
        <v>5898266</v>
      </c>
      <c r="J81" s="208">
        <f t="shared" ca="1" si="9"/>
        <v>73</v>
      </c>
    </row>
    <row r="82" spans="1:10" ht="15.75" customHeight="1" thickBot="1">
      <c r="A82" s="237">
        <f t="shared" ca="1" si="10"/>
        <v>48533</v>
      </c>
      <c r="B82" s="238">
        <f t="shared" ca="1" si="11"/>
        <v>88384</v>
      </c>
      <c r="C82" s="238">
        <f t="shared" ca="1" si="12"/>
        <v>5807230</v>
      </c>
      <c r="D82" s="155">
        <f t="shared" ca="1" si="13"/>
        <v>74</v>
      </c>
      <c r="E82" s="209">
        <f t="shared" ca="1" si="8"/>
        <v>2</v>
      </c>
      <c r="F82" s="10">
        <f t="shared" ca="1" si="14"/>
        <v>48533</v>
      </c>
      <c r="G82" s="156">
        <f t="shared" ca="1" si="15"/>
        <v>88384.139165011991</v>
      </c>
      <c r="H82" s="156">
        <f ca="1">SUM($G$8:G82)*gamma</f>
        <v>155046.69876740492</v>
      </c>
      <c r="I82" s="23">
        <f ca="1">MAX(0,ROUND($I$7-$H$7-H82-SUM($G$8:G82),0))</f>
        <v>5807230</v>
      </c>
      <c r="J82" s="208">
        <f t="shared" ca="1" si="9"/>
        <v>74</v>
      </c>
    </row>
    <row r="83" spans="1:10" ht="15.75" customHeight="1" thickBot="1">
      <c r="A83" s="237">
        <f t="shared" ca="1" si="10"/>
        <v>48563</v>
      </c>
      <c r="B83" s="238">
        <f t="shared" ca="1" si="11"/>
        <v>88384</v>
      </c>
      <c r="C83" s="238">
        <f t="shared" ca="1" si="12"/>
        <v>5716194</v>
      </c>
      <c r="D83" s="155">
        <f t="shared" ca="1" si="13"/>
        <v>75</v>
      </c>
      <c r="E83" s="209">
        <f t="shared" ca="1" si="8"/>
        <v>3</v>
      </c>
      <c r="F83" s="10">
        <f t="shared" ca="1" si="14"/>
        <v>48563</v>
      </c>
      <c r="G83" s="156">
        <f t="shared" ca="1" si="15"/>
        <v>88384.139165011991</v>
      </c>
      <c r="H83" s="156">
        <f ca="1">SUM($G$8:G83)*gamma</f>
        <v>157698.22294235529</v>
      </c>
      <c r="I83" s="23">
        <f ca="1">MAX(0,ROUND($I$7-$H$7-H83-SUM($G$8:G83),0))</f>
        <v>5716194</v>
      </c>
      <c r="J83" s="208">
        <f t="shared" ca="1" si="9"/>
        <v>75</v>
      </c>
    </row>
    <row r="84" spans="1:10" ht="15.75" customHeight="1" thickBot="1">
      <c r="A84" s="237">
        <f t="shared" ca="1" si="10"/>
        <v>48594</v>
      </c>
      <c r="B84" s="238">
        <f t="shared" ca="1" si="11"/>
        <v>88384</v>
      </c>
      <c r="C84" s="238">
        <f t="shared" ca="1" si="12"/>
        <v>5625159</v>
      </c>
      <c r="D84" s="155">
        <f t="shared" ca="1" si="13"/>
        <v>76</v>
      </c>
      <c r="E84" s="209">
        <f t="shared" ca="1" si="8"/>
        <v>4</v>
      </c>
      <c r="F84" s="10">
        <f t="shared" ca="1" si="14"/>
        <v>48594</v>
      </c>
      <c r="G84" s="156">
        <f t="shared" ca="1" si="15"/>
        <v>88384.139165011991</v>
      </c>
      <c r="H84" s="156">
        <f ca="1">SUM($G$8:G84)*gamma</f>
        <v>160349.74711730564</v>
      </c>
      <c r="I84" s="23">
        <f ca="1">MAX(0,ROUND($I$7-$H$7-H84-SUM($G$8:G84),0))</f>
        <v>5625159</v>
      </c>
      <c r="J84" s="208">
        <f t="shared" ca="1" si="9"/>
        <v>76</v>
      </c>
    </row>
    <row r="85" spans="1:10" ht="15.75" customHeight="1" thickBot="1">
      <c r="A85" s="237">
        <f t="shared" ca="1" si="10"/>
        <v>48625</v>
      </c>
      <c r="B85" s="238">
        <f t="shared" ca="1" si="11"/>
        <v>88384</v>
      </c>
      <c r="C85" s="238">
        <f t="shared" ca="1" si="12"/>
        <v>5534123</v>
      </c>
      <c r="D85" s="155">
        <f t="shared" ca="1" si="13"/>
        <v>77</v>
      </c>
      <c r="E85" s="209">
        <f t="shared" ca="1" si="8"/>
        <v>5</v>
      </c>
      <c r="F85" s="10">
        <f t="shared" ca="1" si="14"/>
        <v>48625</v>
      </c>
      <c r="G85" s="156">
        <f t="shared" ca="1" si="15"/>
        <v>88384.139165011991</v>
      </c>
      <c r="H85" s="156">
        <f ca="1">SUM($G$8:G85)*gamma</f>
        <v>163001.27129225602</v>
      </c>
      <c r="I85" s="23">
        <f ca="1">MAX(0,ROUND($I$7-$H$7-H85-SUM($G$8:G85),0))</f>
        <v>5534123</v>
      </c>
      <c r="J85" s="208">
        <f t="shared" ca="1" si="9"/>
        <v>77</v>
      </c>
    </row>
    <row r="86" spans="1:10" ht="15.75" customHeight="1" thickBot="1">
      <c r="A86" s="237">
        <f t="shared" ca="1" si="10"/>
        <v>48653</v>
      </c>
      <c r="B86" s="238">
        <f t="shared" ca="1" si="11"/>
        <v>88384</v>
      </c>
      <c r="C86" s="238">
        <f t="shared" ca="1" si="12"/>
        <v>5443087</v>
      </c>
      <c r="D86" s="155">
        <f t="shared" ca="1" si="13"/>
        <v>78</v>
      </c>
      <c r="E86" s="209">
        <f t="shared" ca="1" si="8"/>
        <v>6</v>
      </c>
      <c r="F86" s="10">
        <f t="shared" ca="1" si="14"/>
        <v>48653</v>
      </c>
      <c r="G86" s="156">
        <f t="shared" ca="1" si="15"/>
        <v>88384.139165011991</v>
      </c>
      <c r="H86" s="156">
        <f ca="1">SUM($G$8:G86)*gamma</f>
        <v>165652.79546720636</v>
      </c>
      <c r="I86" s="23">
        <f ca="1">MAX(0,ROUND($I$7-$H$7-H86-SUM($G$8:G86),0))</f>
        <v>5443087</v>
      </c>
      <c r="J86" s="208">
        <f t="shared" ca="1" si="9"/>
        <v>78</v>
      </c>
    </row>
    <row r="87" spans="1:10" ht="15.75" customHeight="1" thickBot="1">
      <c r="A87" s="237">
        <f t="shared" ca="1" si="10"/>
        <v>48684</v>
      </c>
      <c r="B87" s="238">
        <f t="shared" ca="1" si="11"/>
        <v>88384</v>
      </c>
      <c r="C87" s="238">
        <f t="shared" ca="1" si="12"/>
        <v>5352052</v>
      </c>
      <c r="D87" s="155">
        <f t="shared" ca="1" si="13"/>
        <v>79</v>
      </c>
      <c r="E87" s="209">
        <f t="shared" ca="1" si="8"/>
        <v>7</v>
      </c>
      <c r="F87" s="10">
        <f t="shared" ca="1" si="14"/>
        <v>48684</v>
      </c>
      <c r="G87" s="156">
        <f t="shared" ca="1" si="15"/>
        <v>88384.139165011991</v>
      </c>
      <c r="H87" s="156">
        <f ca="1">SUM($G$8:G87)*gamma</f>
        <v>168304.31964215674</v>
      </c>
      <c r="I87" s="23">
        <f ca="1">MAX(0,ROUND($I$7-$H$7-H87-SUM($G$8:G87),0))</f>
        <v>5352052</v>
      </c>
      <c r="J87" s="208">
        <f t="shared" ca="1" si="9"/>
        <v>79</v>
      </c>
    </row>
    <row r="88" spans="1:10" ht="15.75" customHeight="1" thickBot="1">
      <c r="A88" s="237">
        <f t="shared" ca="1" si="10"/>
        <v>48714</v>
      </c>
      <c r="B88" s="238">
        <f t="shared" ca="1" si="11"/>
        <v>88384</v>
      </c>
      <c r="C88" s="238">
        <f t="shared" ca="1" si="12"/>
        <v>5261016</v>
      </c>
      <c r="D88" s="155">
        <f t="shared" ca="1" si="13"/>
        <v>80</v>
      </c>
      <c r="E88" s="209">
        <f t="shared" ca="1" si="8"/>
        <v>8</v>
      </c>
      <c r="F88" s="10">
        <f t="shared" ca="1" si="14"/>
        <v>48714</v>
      </c>
      <c r="G88" s="156">
        <f t="shared" ca="1" si="15"/>
        <v>88384.139165011991</v>
      </c>
      <c r="H88" s="156">
        <f ca="1">SUM($G$8:G88)*gamma</f>
        <v>170955.84381710712</v>
      </c>
      <c r="I88" s="23">
        <f ca="1">MAX(0,ROUND($I$7-$H$7-H88-SUM($G$8:G88),0))</f>
        <v>5261016</v>
      </c>
      <c r="J88" s="208">
        <f t="shared" ca="1" si="9"/>
        <v>80</v>
      </c>
    </row>
    <row r="89" spans="1:10" ht="15.75" customHeight="1" thickBot="1">
      <c r="A89" s="237">
        <f t="shared" ca="1" si="10"/>
        <v>48745</v>
      </c>
      <c r="B89" s="238">
        <f t="shared" ca="1" si="11"/>
        <v>88384</v>
      </c>
      <c r="C89" s="238">
        <f t="shared" ca="1" si="12"/>
        <v>5169980</v>
      </c>
      <c r="D89" s="155">
        <f t="shared" ca="1" si="13"/>
        <v>81</v>
      </c>
      <c r="E89" s="209">
        <f t="shared" ca="1" si="8"/>
        <v>9</v>
      </c>
      <c r="F89" s="10">
        <f t="shared" ca="1" si="14"/>
        <v>48745</v>
      </c>
      <c r="G89" s="156">
        <f t="shared" ca="1" si="15"/>
        <v>88384.139165011991</v>
      </c>
      <c r="H89" s="156">
        <f ca="1">SUM($G$8:G89)*gamma</f>
        <v>173607.36799205747</v>
      </c>
      <c r="I89" s="23">
        <f ca="1">MAX(0,ROUND($I$7-$H$7-H89-SUM($G$8:G89),0))</f>
        <v>5169980</v>
      </c>
      <c r="J89" s="208">
        <f t="shared" ca="1" si="9"/>
        <v>81</v>
      </c>
    </row>
    <row r="90" spans="1:10" ht="15.75" customHeight="1" thickBot="1">
      <c r="A90" s="237">
        <f t="shared" ca="1" si="10"/>
        <v>48775</v>
      </c>
      <c r="B90" s="238">
        <f t="shared" ca="1" si="11"/>
        <v>88384</v>
      </c>
      <c r="C90" s="238">
        <f t="shared" ca="1" si="12"/>
        <v>5078945</v>
      </c>
      <c r="D90" s="155">
        <f t="shared" ca="1" si="13"/>
        <v>82</v>
      </c>
      <c r="E90" s="209">
        <f t="shared" ca="1" si="8"/>
        <v>10</v>
      </c>
      <c r="F90" s="10">
        <f t="shared" ca="1" si="14"/>
        <v>48775</v>
      </c>
      <c r="G90" s="156">
        <f t="shared" ca="1" si="15"/>
        <v>88384.139165011991</v>
      </c>
      <c r="H90" s="156">
        <f ca="1">SUM($G$8:G90)*gamma</f>
        <v>176258.89216700784</v>
      </c>
      <c r="I90" s="23">
        <f ca="1">MAX(0,ROUND($I$7-$H$7-H90-SUM($G$8:G90),0))</f>
        <v>5078945</v>
      </c>
      <c r="J90" s="208">
        <f t="shared" ca="1" si="9"/>
        <v>82</v>
      </c>
    </row>
    <row r="91" spans="1:10" ht="15.75" customHeight="1" thickBot="1">
      <c r="A91" s="237">
        <f t="shared" ca="1" si="10"/>
        <v>48806</v>
      </c>
      <c r="B91" s="238">
        <f t="shared" ca="1" si="11"/>
        <v>88384</v>
      </c>
      <c r="C91" s="238">
        <f t="shared" ca="1" si="12"/>
        <v>4987909</v>
      </c>
      <c r="D91" s="155">
        <f t="shared" ca="1" si="13"/>
        <v>83</v>
      </c>
      <c r="E91" s="209">
        <f t="shared" ca="1" si="8"/>
        <v>11</v>
      </c>
      <c r="F91" s="10">
        <f t="shared" ca="1" si="14"/>
        <v>48806</v>
      </c>
      <c r="G91" s="156">
        <f t="shared" ca="1" si="15"/>
        <v>88384.139165011991</v>
      </c>
      <c r="H91" s="156">
        <f ca="1">SUM($G$8:G91)*gamma</f>
        <v>178910.41634195819</v>
      </c>
      <c r="I91" s="23">
        <f ca="1">MAX(0,ROUND($I$7-$H$7-H91-SUM($G$8:G91),0))</f>
        <v>4987909</v>
      </c>
      <c r="J91" s="208">
        <f t="shared" ca="1" si="9"/>
        <v>83</v>
      </c>
    </row>
    <row r="92" spans="1:10" ht="15.75" customHeight="1" thickBot="1">
      <c r="A92" s="237">
        <f t="shared" ca="1" si="10"/>
        <v>48837</v>
      </c>
      <c r="B92" s="238">
        <f t="shared" ca="1" si="11"/>
        <v>95455</v>
      </c>
      <c r="C92" s="238">
        <f t="shared" ca="1" si="12"/>
        <v>4889591</v>
      </c>
      <c r="D92" s="155">
        <f t="shared" ca="1" si="13"/>
        <v>84</v>
      </c>
      <c r="E92" s="209">
        <f t="shared" ca="1" si="8"/>
        <v>0</v>
      </c>
      <c r="F92" s="10">
        <f t="shared" ca="1" si="14"/>
        <v>48837</v>
      </c>
      <c r="G92" s="156">
        <f t="shared" ca="1" si="15"/>
        <v>95454.870298212962</v>
      </c>
      <c r="H92" s="156">
        <f ca="1">SUM($G$8:G92)*gamma</f>
        <v>181774.0624509046</v>
      </c>
      <c r="I92" s="23">
        <f ca="1">MAX(0,ROUND($I$7-$H$7-H92-SUM($G$8:G92),0))</f>
        <v>4889591</v>
      </c>
      <c r="J92" s="208">
        <f t="shared" ca="1" si="9"/>
        <v>84</v>
      </c>
    </row>
    <row r="93" spans="1:10" ht="15.75" customHeight="1" thickBot="1">
      <c r="A93" s="237">
        <f t="shared" ca="1" si="10"/>
        <v>48867</v>
      </c>
      <c r="B93" s="238">
        <f t="shared" ca="1" si="11"/>
        <v>95455</v>
      </c>
      <c r="C93" s="238">
        <f t="shared" ca="1" si="12"/>
        <v>4791272</v>
      </c>
      <c r="D93" s="155">
        <f t="shared" ca="1" si="13"/>
        <v>85</v>
      </c>
      <c r="E93" s="209">
        <f t="shared" ca="1" si="8"/>
        <v>1</v>
      </c>
      <c r="F93" s="10">
        <f t="shared" ca="1" si="14"/>
        <v>48867</v>
      </c>
      <c r="G93" s="156">
        <f t="shared" ca="1" si="15"/>
        <v>95454.870298212962</v>
      </c>
      <c r="H93" s="156">
        <f ca="1">SUM($G$8:G93)*gamma</f>
        <v>184637.70855985099</v>
      </c>
      <c r="I93" s="23">
        <f ca="1">MAX(0,ROUND($I$7-$H$7-H93-SUM($G$8:G93),0))</f>
        <v>4791272</v>
      </c>
      <c r="J93" s="208">
        <f t="shared" ca="1" si="9"/>
        <v>85</v>
      </c>
    </row>
    <row r="94" spans="1:10" ht="15.75" customHeight="1" thickBot="1">
      <c r="A94" s="237">
        <f t="shared" ca="1" si="10"/>
        <v>48898</v>
      </c>
      <c r="B94" s="238">
        <f t="shared" ca="1" si="11"/>
        <v>95455</v>
      </c>
      <c r="C94" s="238">
        <f t="shared" ca="1" si="12"/>
        <v>4692953</v>
      </c>
      <c r="D94" s="155">
        <f t="shared" ca="1" si="13"/>
        <v>86</v>
      </c>
      <c r="E94" s="209">
        <f t="shared" ca="1" si="8"/>
        <v>2</v>
      </c>
      <c r="F94" s="10">
        <f t="shared" ca="1" si="14"/>
        <v>48898</v>
      </c>
      <c r="G94" s="156">
        <f t="shared" ca="1" si="15"/>
        <v>95454.870298212962</v>
      </c>
      <c r="H94" s="156">
        <f ca="1">SUM($G$8:G94)*gamma</f>
        <v>187501.3546687974</v>
      </c>
      <c r="I94" s="23">
        <f ca="1">MAX(0,ROUND($I$7-$H$7-H94-SUM($G$8:G94),0))</f>
        <v>4692953</v>
      </c>
      <c r="J94" s="208">
        <f t="shared" ca="1" si="9"/>
        <v>86</v>
      </c>
    </row>
    <row r="95" spans="1:10" ht="15.75" customHeight="1" thickBot="1">
      <c r="A95" s="237">
        <f t="shared" ca="1" si="10"/>
        <v>48928</v>
      </c>
      <c r="B95" s="238">
        <f t="shared" ca="1" si="11"/>
        <v>95455</v>
      </c>
      <c r="C95" s="238">
        <f t="shared" ca="1" si="12"/>
        <v>4594635</v>
      </c>
      <c r="D95" s="155">
        <f t="shared" ca="1" si="13"/>
        <v>87</v>
      </c>
      <c r="E95" s="209">
        <f t="shared" ca="1" si="8"/>
        <v>3</v>
      </c>
      <c r="F95" s="10">
        <f t="shared" ca="1" si="14"/>
        <v>48928</v>
      </c>
      <c r="G95" s="156">
        <f t="shared" ca="1" si="15"/>
        <v>95454.870298212962</v>
      </c>
      <c r="H95" s="156">
        <f ca="1">SUM($G$8:G95)*gamma</f>
        <v>190365.00077774379</v>
      </c>
      <c r="I95" s="23">
        <f ca="1">MAX(0,ROUND($I$7-$H$7-H95-SUM($G$8:G95),0))</f>
        <v>4594635</v>
      </c>
      <c r="J95" s="208">
        <f t="shared" ca="1" si="9"/>
        <v>87</v>
      </c>
    </row>
    <row r="96" spans="1:10" ht="15.75" customHeight="1" thickBot="1">
      <c r="A96" s="237">
        <f t="shared" ca="1" si="10"/>
        <v>48959</v>
      </c>
      <c r="B96" s="238">
        <f t="shared" ca="1" si="11"/>
        <v>95455</v>
      </c>
      <c r="C96" s="238">
        <f t="shared" ca="1" si="12"/>
        <v>4496316</v>
      </c>
      <c r="D96" s="155">
        <f t="shared" ca="1" si="13"/>
        <v>88</v>
      </c>
      <c r="E96" s="209">
        <f t="shared" ca="1" si="8"/>
        <v>4</v>
      </c>
      <c r="F96" s="10">
        <f t="shared" ca="1" si="14"/>
        <v>48959</v>
      </c>
      <c r="G96" s="156">
        <f t="shared" ca="1" si="15"/>
        <v>95454.870298212962</v>
      </c>
      <c r="H96" s="156">
        <f ca="1">SUM($G$8:G96)*gamma</f>
        <v>193228.6468866902</v>
      </c>
      <c r="I96" s="23">
        <f ca="1">MAX(0,ROUND($I$7-$H$7-H96-SUM($G$8:G96),0))</f>
        <v>4496316</v>
      </c>
      <c r="J96" s="208">
        <f t="shared" ca="1" si="9"/>
        <v>88</v>
      </c>
    </row>
    <row r="97" spans="1:10" ht="15.75" customHeight="1" thickBot="1">
      <c r="A97" s="237">
        <f t="shared" ca="1" si="10"/>
        <v>48990</v>
      </c>
      <c r="B97" s="238">
        <f t="shared" ca="1" si="11"/>
        <v>95455</v>
      </c>
      <c r="C97" s="238">
        <f t="shared" ca="1" si="12"/>
        <v>4397998</v>
      </c>
      <c r="D97" s="155">
        <f t="shared" ca="1" si="13"/>
        <v>89</v>
      </c>
      <c r="E97" s="209">
        <f t="shared" ca="1" si="8"/>
        <v>5</v>
      </c>
      <c r="F97" s="10">
        <f t="shared" ca="1" si="14"/>
        <v>48990</v>
      </c>
      <c r="G97" s="156">
        <f t="shared" ca="1" si="15"/>
        <v>95454.870298212962</v>
      </c>
      <c r="H97" s="156">
        <f ca="1">SUM($G$8:G97)*gamma</f>
        <v>196092.29299563658</v>
      </c>
      <c r="I97" s="23">
        <f ca="1">MAX(0,ROUND($I$7-$H$7-H97-SUM($G$8:G97),0))</f>
        <v>4397998</v>
      </c>
      <c r="J97" s="208">
        <f t="shared" ca="1" si="9"/>
        <v>89</v>
      </c>
    </row>
    <row r="98" spans="1:10" ht="15.75" customHeight="1" thickBot="1">
      <c r="A98" s="237">
        <f t="shared" ca="1" si="10"/>
        <v>49018</v>
      </c>
      <c r="B98" s="238">
        <f t="shared" ca="1" si="11"/>
        <v>95455</v>
      </c>
      <c r="C98" s="238">
        <f t="shared" ca="1" si="12"/>
        <v>4299679</v>
      </c>
      <c r="D98" s="155">
        <f t="shared" ca="1" si="13"/>
        <v>90</v>
      </c>
      <c r="E98" s="209">
        <f t="shared" ca="1" si="8"/>
        <v>6</v>
      </c>
      <c r="F98" s="10">
        <f t="shared" ca="1" si="14"/>
        <v>49018</v>
      </c>
      <c r="G98" s="156">
        <f t="shared" ca="1" si="15"/>
        <v>95454.870298212962</v>
      </c>
      <c r="H98" s="156">
        <f ca="1">SUM($G$8:G98)*gamma</f>
        <v>198955.939104583</v>
      </c>
      <c r="I98" s="23">
        <f ca="1">MAX(0,ROUND($I$7-$H$7-H98-SUM($G$8:G98),0))</f>
        <v>4299679</v>
      </c>
      <c r="J98" s="208">
        <f t="shared" ca="1" si="9"/>
        <v>90</v>
      </c>
    </row>
    <row r="99" spans="1:10" ht="15.75" customHeight="1" thickBot="1">
      <c r="A99" s="237">
        <f t="shared" ca="1" si="10"/>
        <v>49049</v>
      </c>
      <c r="B99" s="238">
        <f t="shared" ca="1" si="11"/>
        <v>95455</v>
      </c>
      <c r="C99" s="238">
        <f t="shared" ca="1" si="12"/>
        <v>4201361</v>
      </c>
      <c r="D99" s="155">
        <f t="shared" ca="1" si="13"/>
        <v>91</v>
      </c>
      <c r="E99" s="209">
        <f t="shared" ca="1" si="8"/>
        <v>7</v>
      </c>
      <c r="F99" s="10">
        <f t="shared" ca="1" si="14"/>
        <v>49049</v>
      </c>
      <c r="G99" s="156">
        <f t="shared" ca="1" si="15"/>
        <v>95454.870298212962</v>
      </c>
      <c r="H99" s="156">
        <f ca="1">SUM($G$8:G99)*gamma</f>
        <v>201819.58521352938</v>
      </c>
      <c r="I99" s="23">
        <f ca="1">MAX(0,ROUND($I$7-$H$7-H99-SUM($G$8:G99),0))</f>
        <v>4201361</v>
      </c>
      <c r="J99" s="208">
        <f t="shared" ca="1" si="9"/>
        <v>91</v>
      </c>
    </row>
    <row r="100" spans="1:10" ht="15.75" customHeight="1" thickBot="1">
      <c r="A100" s="237">
        <f t="shared" ca="1" si="10"/>
        <v>49079</v>
      </c>
      <c r="B100" s="238">
        <f t="shared" ca="1" si="11"/>
        <v>95455</v>
      </c>
      <c r="C100" s="238">
        <f t="shared" ca="1" si="12"/>
        <v>4103042</v>
      </c>
      <c r="D100" s="155">
        <f t="shared" ca="1" si="13"/>
        <v>92</v>
      </c>
      <c r="E100" s="209">
        <f t="shared" ca="1" si="8"/>
        <v>8</v>
      </c>
      <c r="F100" s="10">
        <f t="shared" ca="1" si="14"/>
        <v>49079</v>
      </c>
      <c r="G100" s="156">
        <f t="shared" ca="1" si="15"/>
        <v>95454.870298212962</v>
      </c>
      <c r="H100" s="156">
        <f ca="1">SUM($G$8:G100)*gamma</f>
        <v>204683.2313224758</v>
      </c>
      <c r="I100" s="23">
        <f ca="1">MAX(0,ROUND($I$7-$H$7-H100-SUM($G$8:G100),0))</f>
        <v>4103042</v>
      </c>
      <c r="J100" s="208">
        <f t="shared" ca="1" si="9"/>
        <v>92</v>
      </c>
    </row>
    <row r="101" spans="1:10" ht="15.75" customHeight="1" thickBot="1">
      <c r="A101" s="237">
        <f t="shared" ca="1" si="10"/>
        <v>49110</v>
      </c>
      <c r="B101" s="238">
        <f t="shared" ca="1" si="11"/>
        <v>95455</v>
      </c>
      <c r="C101" s="238">
        <f t="shared" ca="1" si="12"/>
        <v>4004724</v>
      </c>
      <c r="D101" s="155">
        <f t="shared" ca="1" si="13"/>
        <v>93</v>
      </c>
      <c r="E101" s="209">
        <f t="shared" ca="1" si="8"/>
        <v>9</v>
      </c>
      <c r="F101" s="10">
        <f t="shared" ca="1" si="14"/>
        <v>49110</v>
      </c>
      <c r="G101" s="156">
        <f t="shared" ca="1" si="15"/>
        <v>95454.870298212962</v>
      </c>
      <c r="H101" s="156">
        <f ca="1">SUM($G$8:G101)*gamma</f>
        <v>207546.87743142218</v>
      </c>
      <c r="I101" s="23">
        <f ca="1">MAX(0,ROUND($I$7-$H$7-H101-SUM($G$8:G101),0))</f>
        <v>4004724</v>
      </c>
      <c r="J101" s="208">
        <f t="shared" ca="1" si="9"/>
        <v>93</v>
      </c>
    </row>
    <row r="102" spans="1:10" ht="15.75" customHeight="1" thickBot="1">
      <c r="A102" s="237">
        <f t="shared" ca="1" si="10"/>
        <v>49140</v>
      </c>
      <c r="B102" s="238">
        <f t="shared" ca="1" si="11"/>
        <v>95455</v>
      </c>
      <c r="C102" s="238">
        <f t="shared" ca="1" si="12"/>
        <v>3906405</v>
      </c>
      <c r="D102" s="155">
        <f t="shared" ca="1" si="13"/>
        <v>94</v>
      </c>
      <c r="E102" s="209">
        <f t="shared" ca="1" si="8"/>
        <v>10</v>
      </c>
      <c r="F102" s="10">
        <f t="shared" ca="1" si="14"/>
        <v>49140</v>
      </c>
      <c r="G102" s="156">
        <f t="shared" ca="1" si="15"/>
        <v>95454.870298212962</v>
      </c>
      <c r="H102" s="156">
        <f ca="1">SUM($G$8:G102)*gamma</f>
        <v>210410.52354036859</v>
      </c>
      <c r="I102" s="23">
        <f ca="1">MAX(0,ROUND($I$7-$H$7-H102-SUM($G$8:G102),0))</f>
        <v>3906405</v>
      </c>
      <c r="J102" s="208">
        <f t="shared" ca="1" si="9"/>
        <v>94</v>
      </c>
    </row>
    <row r="103" spans="1:10" ht="15.75" customHeight="1" thickBot="1">
      <c r="A103" s="237">
        <f t="shared" ca="1" si="10"/>
        <v>49171</v>
      </c>
      <c r="B103" s="238">
        <f t="shared" ca="1" si="11"/>
        <v>95455</v>
      </c>
      <c r="C103" s="238">
        <f t="shared" ca="1" si="12"/>
        <v>3808087</v>
      </c>
      <c r="D103" s="155">
        <f t="shared" ca="1" si="13"/>
        <v>95</v>
      </c>
      <c r="E103" s="209">
        <f t="shared" ca="1" si="8"/>
        <v>11</v>
      </c>
      <c r="F103" s="10">
        <f t="shared" ca="1" si="14"/>
        <v>49171</v>
      </c>
      <c r="G103" s="156">
        <f t="shared" ca="1" si="15"/>
        <v>95454.870298212962</v>
      </c>
      <c r="H103" s="156">
        <f ca="1">SUM($G$8:G103)*gamma</f>
        <v>213274.16964931498</v>
      </c>
      <c r="I103" s="23">
        <f ca="1">MAX(0,ROUND($I$7-$H$7-H103-SUM($G$8:G103),0))</f>
        <v>3808087</v>
      </c>
      <c r="J103" s="208">
        <f t="shared" ca="1" si="9"/>
        <v>95</v>
      </c>
    </row>
    <row r="104" spans="1:10" ht="15.75" customHeight="1" thickBot="1">
      <c r="A104" s="237">
        <f t="shared" ca="1" si="10"/>
        <v>49202</v>
      </c>
      <c r="B104" s="238">
        <f t="shared" ca="1" si="11"/>
        <v>103091</v>
      </c>
      <c r="C104" s="238">
        <f t="shared" ca="1" si="12"/>
        <v>3701903</v>
      </c>
      <c r="D104" s="155">
        <f t="shared" ca="1" si="13"/>
        <v>96</v>
      </c>
      <c r="E104" s="209">
        <f t="shared" ca="1" si="8"/>
        <v>0</v>
      </c>
      <c r="F104" s="10">
        <f t="shared" ca="1" si="14"/>
        <v>49202</v>
      </c>
      <c r="G104" s="156">
        <f t="shared" ca="1" si="15"/>
        <v>103091.25992207001</v>
      </c>
      <c r="H104" s="156">
        <f ca="1">SUM($G$8:G104)*gamma</f>
        <v>216366.9074469771</v>
      </c>
      <c r="I104" s="23">
        <f ca="1">MAX(0,ROUND($I$7-$H$7-H104-SUM($G$8:G104),0))</f>
        <v>3701903</v>
      </c>
      <c r="J104" s="208">
        <f t="shared" ca="1" si="9"/>
        <v>96</v>
      </c>
    </row>
    <row r="105" spans="1:10" ht="15.75" customHeight="1" thickBot="1">
      <c r="A105" s="237">
        <f t="shared" ca="1" si="10"/>
        <v>49232</v>
      </c>
      <c r="B105" s="238">
        <f t="shared" ca="1" si="11"/>
        <v>103091</v>
      </c>
      <c r="C105" s="238">
        <f t="shared" ca="1" si="12"/>
        <v>3595719</v>
      </c>
      <c r="D105" s="155">
        <f t="shared" ca="1" si="13"/>
        <v>97</v>
      </c>
      <c r="E105" s="209">
        <f t="shared" ca="1" si="8"/>
        <v>1</v>
      </c>
      <c r="F105" s="10">
        <f t="shared" ca="1" si="14"/>
        <v>49232</v>
      </c>
      <c r="G105" s="156">
        <f t="shared" ca="1" si="15"/>
        <v>103091.25992207001</v>
      </c>
      <c r="H105" s="156">
        <f ca="1">SUM($G$8:G105)*gamma</f>
        <v>219459.64524463922</v>
      </c>
      <c r="I105" s="23">
        <f ca="1">MAX(0,ROUND($I$7-$H$7-H105-SUM($G$8:G105),0))</f>
        <v>3595719</v>
      </c>
      <c r="J105" s="208">
        <f t="shared" ca="1" si="9"/>
        <v>97</v>
      </c>
    </row>
    <row r="106" spans="1:10" ht="15.75" customHeight="1" thickBot="1">
      <c r="A106" s="237">
        <f t="shared" ca="1" si="10"/>
        <v>49263</v>
      </c>
      <c r="B106" s="238">
        <f t="shared" ca="1" si="11"/>
        <v>103091</v>
      </c>
      <c r="C106" s="238">
        <f t="shared" ca="1" si="12"/>
        <v>3489535</v>
      </c>
      <c r="D106" s="155">
        <f t="shared" ca="1" si="13"/>
        <v>98</v>
      </c>
      <c r="E106" s="209">
        <f t="shared" ca="1" si="8"/>
        <v>2</v>
      </c>
      <c r="F106" s="10">
        <f t="shared" ca="1" si="14"/>
        <v>49263</v>
      </c>
      <c r="G106" s="156">
        <f t="shared" ca="1" si="15"/>
        <v>103091.25992207001</v>
      </c>
      <c r="H106" s="156">
        <f ca="1">SUM($G$8:G106)*gamma</f>
        <v>222552.38304230134</v>
      </c>
      <c r="I106" s="23">
        <f ca="1">MAX(0,ROUND($I$7-$H$7-H106-SUM($G$8:G106),0))</f>
        <v>3489535</v>
      </c>
      <c r="J106" s="208">
        <f t="shared" ca="1" si="9"/>
        <v>98</v>
      </c>
    </row>
    <row r="107" spans="1:10" ht="15.75" customHeight="1" thickBot="1">
      <c r="A107" s="237">
        <f t="shared" ca="1" si="10"/>
        <v>49293</v>
      </c>
      <c r="B107" s="238">
        <f t="shared" ca="1" si="11"/>
        <v>103091</v>
      </c>
      <c r="C107" s="238">
        <f t="shared" ca="1" si="12"/>
        <v>3383351</v>
      </c>
      <c r="D107" s="155">
        <f t="shared" ca="1" si="13"/>
        <v>99</v>
      </c>
      <c r="E107" s="209">
        <f t="shared" ca="1" si="8"/>
        <v>3</v>
      </c>
      <c r="F107" s="10">
        <f t="shared" ca="1" si="14"/>
        <v>49293</v>
      </c>
      <c r="G107" s="156">
        <f t="shared" ca="1" si="15"/>
        <v>103091.25992207001</v>
      </c>
      <c r="H107" s="156">
        <f ca="1">SUM($G$8:G107)*gamma</f>
        <v>225645.12083996343</v>
      </c>
      <c r="I107" s="23">
        <f ca="1">MAX(0,ROUND($I$7-$H$7-H107-SUM($G$8:G107),0))</f>
        <v>3383351</v>
      </c>
      <c r="J107" s="208">
        <f t="shared" ca="1" si="9"/>
        <v>99</v>
      </c>
    </row>
    <row r="108" spans="1:10" ht="15.75" customHeight="1" thickBot="1">
      <c r="A108" s="237">
        <f t="shared" ca="1" si="10"/>
        <v>49324</v>
      </c>
      <c r="B108" s="238">
        <f t="shared" ca="1" si="11"/>
        <v>103091</v>
      </c>
      <c r="C108" s="238">
        <f t="shared" ca="1" si="12"/>
        <v>3277167</v>
      </c>
      <c r="D108" s="155">
        <f t="shared" ca="1" si="13"/>
        <v>100</v>
      </c>
      <c r="E108" s="209">
        <f t="shared" ca="1" si="8"/>
        <v>4</v>
      </c>
      <c r="F108" s="10">
        <f t="shared" ca="1" si="14"/>
        <v>49324</v>
      </c>
      <c r="G108" s="156">
        <f t="shared" ca="1" si="15"/>
        <v>103091.25992207001</v>
      </c>
      <c r="H108" s="156">
        <f ca="1">SUM($G$8:G108)*gamma</f>
        <v>228737.85863762556</v>
      </c>
      <c r="I108" s="23">
        <f ca="1">MAX(0,ROUND($I$7-$H$7-H108-SUM($G$8:G108),0))</f>
        <v>3277167</v>
      </c>
      <c r="J108" s="208">
        <f t="shared" ca="1" si="9"/>
        <v>100</v>
      </c>
    </row>
    <row r="109" spans="1:10" ht="15.75" customHeight="1" thickBot="1">
      <c r="A109" s="237">
        <f t="shared" ca="1" si="10"/>
        <v>49355</v>
      </c>
      <c r="B109" s="238">
        <f t="shared" ca="1" si="11"/>
        <v>103091</v>
      </c>
      <c r="C109" s="238">
        <f t="shared" ca="1" si="12"/>
        <v>3170983</v>
      </c>
      <c r="D109" s="155">
        <f t="shared" ca="1" si="13"/>
        <v>101</v>
      </c>
      <c r="E109" s="209">
        <f t="shared" ca="1" si="8"/>
        <v>5</v>
      </c>
      <c r="F109" s="10">
        <f t="shared" ca="1" si="14"/>
        <v>49355</v>
      </c>
      <c r="G109" s="156">
        <f t="shared" ca="1" si="15"/>
        <v>103091.25992207001</v>
      </c>
      <c r="H109" s="156">
        <f ca="1">SUM($G$8:G109)*gamma</f>
        <v>231830.59643528768</v>
      </c>
      <c r="I109" s="23">
        <f ca="1">MAX(0,ROUND($I$7-$H$7-H109-SUM($G$8:G109),0))</f>
        <v>3170983</v>
      </c>
      <c r="J109" s="208">
        <f t="shared" ca="1" si="9"/>
        <v>101</v>
      </c>
    </row>
    <row r="110" spans="1:10" ht="15.75" customHeight="1" thickBot="1">
      <c r="A110" s="237">
        <f t="shared" ca="1" si="10"/>
        <v>49383</v>
      </c>
      <c r="B110" s="238">
        <f t="shared" ca="1" si="11"/>
        <v>103091</v>
      </c>
      <c r="C110" s="238">
        <f t="shared" ca="1" si="12"/>
        <v>3064799</v>
      </c>
      <c r="D110" s="155">
        <f t="shared" ca="1" si="13"/>
        <v>102</v>
      </c>
      <c r="E110" s="209">
        <f t="shared" ca="1" si="8"/>
        <v>6</v>
      </c>
      <c r="F110" s="10">
        <f t="shared" ca="1" si="14"/>
        <v>49383</v>
      </c>
      <c r="G110" s="156">
        <f t="shared" ca="1" si="15"/>
        <v>103091.25992207001</v>
      </c>
      <c r="H110" s="156">
        <f ca="1">SUM($G$8:G110)*gamma</f>
        <v>234923.3342329498</v>
      </c>
      <c r="I110" s="23">
        <f ca="1">MAX(0,ROUND($I$7-$H$7-H110-SUM($G$8:G110),0))</f>
        <v>3064799</v>
      </c>
      <c r="J110" s="208">
        <f t="shared" ca="1" si="9"/>
        <v>102</v>
      </c>
    </row>
    <row r="111" spans="1:10" ht="15.75" customHeight="1" thickBot="1">
      <c r="A111" s="237">
        <f t="shared" ca="1" si="10"/>
        <v>49414</v>
      </c>
      <c r="B111" s="238">
        <f t="shared" ca="1" si="11"/>
        <v>103091</v>
      </c>
      <c r="C111" s="238">
        <f t="shared" ca="1" si="12"/>
        <v>2958615</v>
      </c>
      <c r="D111" s="155">
        <f t="shared" ca="1" si="13"/>
        <v>103</v>
      </c>
      <c r="E111" s="209">
        <f t="shared" ca="1" si="8"/>
        <v>7</v>
      </c>
      <c r="F111" s="10">
        <f t="shared" ca="1" si="14"/>
        <v>49414</v>
      </c>
      <c r="G111" s="156">
        <f t="shared" ca="1" si="15"/>
        <v>103091.25992207001</v>
      </c>
      <c r="H111" s="156">
        <f ca="1">SUM($G$8:G111)*gamma</f>
        <v>238016.07203061189</v>
      </c>
      <c r="I111" s="23">
        <f ca="1">MAX(0,ROUND($I$7-$H$7-H111-SUM($G$8:G111),0))</f>
        <v>2958615</v>
      </c>
      <c r="J111" s="208">
        <f t="shared" ca="1" si="9"/>
        <v>103</v>
      </c>
    </row>
    <row r="112" spans="1:10" ht="15.75" customHeight="1" thickBot="1">
      <c r="A112" s="237">
        <f t="shared" ca="1" si="10"/>
        <v>49444</v>
      </c>
      <c r="B112" s="238">
        <f t="shared" ca="1" si="11"/>
        <v>103091</v>
      </c>
      <c r="C112" s="238">
        <f t="shared" ca="1" si="12"/>
        <v>2852431</v>
      </c>
      <c r="D112" s="155">
        <f t="shared" ca="1" si="13"/>
        <v>104</v>
      </c>
      <c r="E112" s="209">
        <f t="shared" ca="1" si="8"/>
        <v>8</v>
      </c>
      <c r="F112" s="10">
        <f t="shared" ca="1" si="14"/>
        <v>49444</v>
      </c>
      <c r="G112" s="156">
        <f t="shared" ca="1" si="15"/>
        <v>103091.25992207001</v>
      </c>
      <c r="H112" s="156">
        <f ca="1">SUM($G$8:G112)*gamma</f>
        <v>241108.80982827401</v>
      </c>
      <c r="I112" s="23">
        <f ca="1">MAX(0,ROUND($I$7-$H$7-H112-SUM($G$8:G112),0))</f>
        <v>2852431</v>
      </c>
      <c r="J112" s="208">
        <f t="shared" ca="1" si="9"/>
        <v>104</v>
      </c>
    </row>
    <row r="113" spans="1:10" ht="15.75" customHeight="1" thickBot="1">
      <c r="A113" s="237">
        <f t="shared" ca="1" si="10"/>
        <v>49475</v>
      </c>
      <c r="B113" s="238">
        <f t="shared" ca="1" si="11"/>
        <v>103091</v>
      </c>
      <c r="C113" s="238">
        <f t="shared" ca="1" si="12"/>
        <v>2746247</v>
      </c>
      <c r="D113" s="155">
        <f t="shared" ca="1" si="13"/>
        <v>105</v>
      </c>
      <c r="E113" s="209">
        <f t="shared" ca="1" si="8"/>
        <v>9</v>
      </c>
      <c r="F113" s="10">
        <f t="shared" ca="1" si="14"/>
        <v>49475</v>
      </c>
      <c r="G113" s="156">
        <f t="shared" ca="1" si="15"/>
        <v>103091.25992207001</v>
      </c>
      <c r="H113" s="156">
        <f ca="1">SUM($G$8:G113)*gamma</f>
        <v>244201.54762593613</v>
      </c>
      <c r="I113" s="23">
        <f ca="1">MAX(0,ROUND($I$7-$H$7-H113-SUM($G$8:G113),0))</f>
        <v>2746247</v>
      </c>
      <c r="J113" s="208">
        <f t="shared" ca="1" si="9"/>
        <v>105</v>
      </c>
    </row>
    <row r="114" spans="1:10" ht="15.75" customHeight="1" thickBot="1">
      <c r="A114" s="237">
        <f t="shared" ca="1" si="10"/>
        <v>49505</v>
      </c>
      <c r="B114" s="238">
        <f t="shared" ca="1" si="11"/>
        <v>103091</v>
      </c>
      <c r="C114" s="238">
        <f t="shared" ca="1" si="12"/>
        <v>2640063</v>
      </c>
      <c r="D114" s="155">
        <f t="shared" ca="1" si="13"/>
        <v>106</v>
      </c>
      <c r="E114" s="209">
        <f t="shared" ca="1" si="8"/>
        <v>10</v>
      </c>
      <c r="F114" s="10">
        <f t="shared" ca="1" si="14"/>
        <v>49505</v>
      </c>
      <c r="G114" s="156">
        <f t="shared" ca="1" si="15"/>
        <v>103091.25992207001</v>
      </c>
      <c r="H114" s="156">
        <f ca="1">SUM($G$8:G114)*gamma</f>
        <v>247294.28542359822</v>
      </c>
      <c r="I114" s="23">
        <f ca="1">MAX(0,ROUND($I$7-$H$7-H114-SUM($G$8:G114),0))</f>
        <v>2640063</v>
      </c>
      <c r="J114" s="208">
        <f t="shared" ca="1" si="9"/>
        <v>106</v>
      </c>
    </row>
    <row r="115" spans="1:10" ht="15.75" customHeight="1" thickBot="1">
      <c r="A115" s="237">
        <f t="shared" ca="1" si="10"/>
        <v>49536</v>
      </c>
      <c r="B115" s="238">
        <f t="shared" ca="1" si="11"/>
        <v>103091</v>
      </c>
      <c r="C115" s="238">
        <f t="shared" ca="1" si="12"/>
        <v>2533879</v>
      </c>
      <c r="D115" s="155">
        <f t="shared" ca="1" si="13"/>
        <v>107</v>
      </c>
      <c r="E115" s="209">
        <f t="shared" ca="1" si="8"/>
        <v>11</v>
      </c>
      <c r="F115" s="10">
        <f t="shared" ca="1" si="14"/>
        <v>49536</v>
      </c>
      <c r="G115" s="156">
        <f t="shared" ca="1" si="15"/>
        <v>103091.25992207001</v>
      </c>
      <c r="H115" s="156">
        <f ca="1">SUM($G$8:G115)*gamma</f>
        <v>250387.02322126034</v>
      </c>
      <c r="I115" s="23">
        <f ca="1">MAX(0,ROUND($I$7-$H$7-H115-SUM($G$8:G115),0))</f>
        <v>2533879</v>
      </c>
      <c r="J115" s="208">
        <f t="shared" ca="1" si="9"/>
        <v>107</v>
      </c>
    </row>
    <row r="116" spans="1:10" ht="15.75" customHeight="1" thickBot="1">
      <c r="A116" s="237">
        <f t="shared" ca="1" si="10"/>
        <v>49567</v>
      </c>
      <c r="B116" s="238">
        <f t="shared" ca="1" si="11"/>
        <v>111339</v>
      </c>
      <c r="C116" s="238">
        <f t="shared" ca="1" si="12"/>
        <v>2419200</v>
      </c>
      <c r="D116" s="155">
        <f t="shared" ca="1" si="13"/>
        <v>108</v>
      </c>
      <c r="E116" s="209">
        <f t="shared" ca="1" si="8"/>
        <v>0</v>
      </c>
      <c r="F116" s="10">
        <f t="shared" ca="1" si="14"/>
        <v>49567</v>
      </c>
      <c r="G116" s="156">
        <f t="shared" ca="1" si="15"/>
        <v>111338.56071583561</v>
      </c>
      <c r="H116" s="156">
        <f ca="1">SUM($G$8:G116)*gamma</f>
        <v>253727.18004273545</v>
      </c>
      <c r="I116" s="23">
        <f ca="1">MAX(0,ROUND($I$7-$H$7-H116-SUM($G$8:G116),0))</f>
        <v>2419200</v>
      </c>
      <c r="J116" s="208">
        <f t="shared" ca="1" si="9"/>
        <v>108</v>
      </c>
    </row>
    <row r="117" spans="1:10" ht="15.75" customHeight="1" thickBot="1">
      <c r="A117" s="237">
        <f t="shared" ca="1" si="10"/>
        <v>49597</v>
      </c>
      <c r="B117" s="238">
        <f t="shared" ca="1" si="11"/>
        <v>111339</v>
      </c>
      <c r="C117" s="238">
        <f t="shared" ca="1" si="12"/>
        <v>2304521</v>
      </c>
      <c r="D117" s="155">
        <f t="shared" ca="1" si="13"/>
        <v>109</v>
      </c>
      <c r="E117" s="209">
        <f t="shared" ca="1" si="8"/>
        <v>1</v>
      </c>
      <c r="F117" s="10">
        <f t="shared" ca="1" si="14"/>
        <v>49597</v>
      </c>
      <c r="G117" s="156">
        <f t="shared" ca="1" si="15"/>
        <v>111338.56071583561</v>
      </c>
      <c r="H117" s="156">
        <f ca="1">SUM($G$8:G117)*gamma</f>
        <v>257067.33686421052</v>
      </c>
      <c r="I117" s="23">
        <f ca="1">MAX(0,ROUND($I$7-$H$7-H117-SUM($G$8:G117),0))</f>
        <v>2304521</v>
      </c>
      <c r="J117" s="208">
        <f t="shared" ca="1" si="9"/>
        <v>109</v>
      </c>
    </row>
    <row r="118" spans="1:10" ht="15.75" customHeight="1" thickBot="1">
      <c r="A118" s="237">
        <f t="shared" ca="1" si="10"/>
        <v>49628</v>
      </c>
      <c r="B118" s="238">
        <f t="shared" ca="1" si="11"/>
        <v>111339</v>
      </c>
      <c r="C118" s="238">
        <f t="shared" ca="1" si="12"/>
        <v>2189843</v>
      </c>
      <c r="D118" s="155">
        <f t="shared" ca="1" si="13"/>
        <v>110</v>
      </c>
      <c r="E118" s="209">
        <f t="shared" ca="1" si="8"/>
        <v>2</v>
      </c>
      <c r="F118" s="10">
        <f t="shared" ca="1" si="14"/>
        <v>49628</v>
      </c>
      <c r="G118" s="156">
        <f t="shared" ca="1" si="15"/>
        <v>111338.56071583561</v>
      </c>
      <c r="H118" s="156">
        <f ca="1">SUM($G$8:G118)*gamma</f>
        <v>260407.49368568556</v>
      </c>
      <c r="I118" s="23">
        <f ca="1">MAX(0,ROUND($I$7-$H$7-H118-SUM($G$8:G118),0))</f>
        <v>2189843</v>
      </c>
      <c r="J118" s="208">
        <f t="shared" ca="1" si="9"/>
        <v>110</v>
      </c>
    </row>
    <row r="119" spans="1:10" ht="15.75" customHeight="1" thickBot="1">
      <c r="A119" s="237">
        <f t="shared" ca="1" si="10"/>
        <v>49658</v>
      </c>
      <c r="B119" s="238">
        <f t="shared" ca="1" si="11"/>
        <v>111339</v>
      </c>
      <c r="C119" s="238">
        <f t="shared" ca="1" si="12"/>
        <v>2075164</v>
      </c>
      <c r="D119" s="155">
        <f t="shared" ca="1" si="13"/>
        <v>111</v>
      </c>
      <c r="E119" s="209">
        <f t="shared" ca="1" si="8"/>
        <v>3</v>
      </c>
      <c r="F119" s="10">
        <f t="shared" ca="1" si="14"/>
        <v>49658</v>
      </c>
      <c r="G119" s="156">
        <f t="shared" ca="1" si="15"/>
        <v>111338.56071583561</v>
      </c>
      <c r="H119" s="156">
        <f ca="1">SUM($G$8:G119)*gamma</f>
        <v>263747.65050716064</v>
      </c>
      <c r="I119" s="23">
        <f ca="1">MAX(0,ROUND($I$7-$H$7-H119-SUM($G$8:G119),0))</f>
        <v>2075164</v>
      </c>
      <c r="J119" s="208">
        <f t="shared" ca="1" si="9"/>
        <v>111</v>
      </c>
    </row>
    <row r="120" spans="1:10" ht="15.75" customHeight="1" thickBot="1">
      <c r="A120" s="237">
        <f t="shared" ca="1" si="10"/>
        <v>49689</v>
      </c>
      <c r="B120" s="238">
        <f t="shared" ca="1" si="11"/>
        <v>111339</v>
      </c>
      <c r="C120" s="238">
        <f t="shared" ca="1" si="12"/>
        <v>1960485</v>
      </c>
      <c r="D120" s="155">
        <f t="shared" ca="1" si="13"/>
        <v>112</v>
      </c>
      <c r="E120" s="209">
        <f t="shared" ca="1" si="8"/>
        <v>4</v>
      </c>
      <c r="F120" s="10">
        <f t="shared" ca="1" si="14"/>
        <v>49689</v>
      </c>
      <c r="G120" s="156">
        <f t="shared" ca="1" si="15"/>
        <v>111338.56071583561</v>
      </c>
      <c r="H120" s="156">
        <f ca="1">SUM($G$8:G120)*gamma</f>
        <v>267087.80732863571</v>
      </c>
      <c r="I120" s="23">
        <f ca="1">MAX(0,ROUND($I$7-$H$7-H120-SUM($G$8:G120),0))</f>
        <v>1960485</v>
      </c>
      <c r="J120" s="208">
        <f t="shared" ca="1" si="9"/>
        <v>112</v>
      </c>
    </row>
    <row r="121" spans="1:10" ht="15.75" customHeight="1" thickBot="1">
      <c r="A121" s="237">
        <f t="shared" ca="1" si="10"/>
        <v>49720</v>
      </c>
      <c r="B121" s="238">
        <f t="shared" ca="1" si="11"/>
        <v>111339</v>
      </c>
      <c r="C121" s="238">
        <f t="shared" ca="1" si="12"/>
        <v>1845807</v>
      </c>
      <c r="D121" s="155">
        <f t="shared" ca="1" si="13"/>
        <v>113</v>
      </c>
      <c r="E121" s="209">
        <f t="shared" ca="1" si="8"/>
        <v>5</v>
      </c>
      <c r="F121" s="10">
        <f t="shared" ca="1" si="14"/>
        <v>49720</v>
      </c>
      <c r="G121" s="156">
        <f t="shared" ca="1" si="15"/>
        <v>111338.56071583561</v>
      </c>
      <c r="H121" s="156">
        <f ca="1">SUM($G$8:G121)*gamma</f>
        <v>270427.96415011078</v>
      </c>
      <c r="I121" s="23">
        <f ca="1">MAX(0,ROUND($I$7-$H$7-H121-SUM($G$8:G121),0))</f>
        <v>1845807</v>
      </c>
      <c r="J121" s="208">
        <f t="shared" ca="1" si="9"/>
        <v>113</v>
      </c>
    </row>
    <row r="122" spans="1:10" ht="15.75" customHeight="1" thickBot="1">
      <c r="A122" s="237">
        <f t="shared" ca="1" si="10"/>
        <v>49749</v>
      </c>
      <c r="B122" s="238">
        <f t="shared" ca="1" si="11"/>
        <v>111339</v>
      </c>
      <c r="C122" s="238">
        <f t="shared" ca="1" si="12"/>
        <v>1731128</v>
      </c>
      <c r="D122" s="155">
        <f t="shared" ca="1" si="13"/>
        <v>114</v>
      </c>
      <c r="E122" s="209">
        <f t="shared" ca="1" si="8"/>
        <v>6</v>
      </c>
      <c r="F122" s="10">
        <f t="shared" ca="1" si="14"/>
        <v>49749</v>
      </c>
      <c r="G122" s="156">
        <f t="shared" ca="1" si="15"/>
        <v>111338.56071583561</v>
      </c>
      <c r="H122" s="156">
        <f ca="1">SUM($G$8:G122)*gamma</f>
        <v>273768.12097158586</v>
      </c>
      <c r="I122" s="23">
        <f ca="1">MAX(0,ROUND($I$7-$H$7-H122-SUM($G$8:G122),0))</f>
        <v>1731128</v>
      </c>
      <c r="J122" s="208">
        <f t="shared" ca="1" si="9"/>
        <v>114</v>
      </c>
    </row>
    <row r="123" spans="1:10" ht="15.75" customHeight="1" thickBot="1">
      <c r="A123" s="237">
        <f t="shared" ca="1" si="10"/>
        <v>49780</v>
      </c>
      <c r="B123" s="238">
        <f t="shared" ca="1" si="11"/>
        <v>111339</v>
      </c>
      <c r="C123" s="238">
        <f t="shared" ca="1" si="12"/>
        <v>1616449</v>
      </c>
      <c r="D123" s="155">
        <f t="shared" ca="1" si="13"/>
        <v>115</v>
      </c>
      <c r="E123" s="209">
        <f t="shared" ca="1" si="8"/>
        <v>7</v>
      </c>
      <c r="F123" s="10">
        <f t="shared" ca="1" si="14"/>
        <v>49780</v>
      </c>
      <c r="G123" s="156">
        <f t="shared" ca="1" si="15"/>
        <v>111338.56071583561</v>
      </c>
      <c r="H123" s="156">
        <f ca="1">SUM($G$8:G123)*gamma</f>
        <v>277108.27779306093</v>
      </c>
      <c r="I123" s="23">
        <f ca="1">MAX(0,ROUND($I$7-$H$7-H123-SUM($G$8:G123),0))</f>
        <v>1616449</v>
      </c>
      <c r="J123" s="208">
        <f t="shared" ca="1" si="9"/>
        <v>115</v>
      </c>
    </row>
    <row r="124" spans="1:10" ht="15.75" customHeight="1" thickBot="1">
      <c r="A124" s="237">
        <f t="shared" ca="1" si="10"/>
        <v>49810</v>
      </c>
      <c r="B124" s="238">
        <f t="shared" ca="1" si="11"/>
        <v>111339</v>
      </c>
      <c r="C124" s="238">
        <f t="shared" ca="1" si="12"/>
        <v>1501770</v>
      </c>
      <c r="D124" s="155">
        <f t="shared" ca="1" si="13"/>
        <v>116</v>
      </c>
      <c r="E124" s="209">
        <f t="shared" ca="1" si="8"/>
        <v>8</v>
      </c>
      <c r="F124" s="10">
        <f t="shared" ca="1" si="14"/>
        <v>49810</v>
      </c>
      <c r="G124" s="156">
        <f t="shared" ca="1" si="15"/>
        <v>111338.56071583561</v>
      </c>
      <c r="H124" s="156">
        <f ca="1">SUM($G$8:G124)*gamma</f>
        <v>280448.43461453595</v>
      </c>
      <c r="I124" s="23">
        <f ca="1">MAX(0,ROUND($I$7-$H$7-H124-SUM($G$8:G124),0))</f>
        <v>1501770</v>
      </c>
      <c r="J124" s="208">
        <f t="shared" ca="1" si="9"/>
        <v>116</v>
      </c>
    </row>
    <row r="125" spans="1:10" ht="15.75" customHeight="1" thickBot="1">
      <c r="A125" s="237">
        <f t="shared" ca="1" si="10"/>
        <v>49841</v>
      </c>
      <c r="B125" s="238">
        <f t="shared" ca="1" si="11"/>
        <v>111339</v>
      </c>
      <c r="C125" s="238">
        <f t="shared" ca="1" si="12"/>
        <v>1387092</v>
      </c>
      <c r="D125" s="155">
        <f t="shared" ca="1" si="13"/>
        <v>117</v>
      </c>
      <c r="E125" s="209">
        <f t="shared" ca="1" si="8"/>
        <v>9</v>
      </c>
      <c r="F125" s="10">
        <f t="shared" ca="1" si="14"/>
        <v>49841</v>
      </c>
      <c r="G125" s="156">
        <f t="shared" ca="1" si="15"/>
        <v>111338.56071583561</v>
      </c>
      <c r="H125" s="156">
        <f ca="1">SUM($G$8:G125)*gamma</f>
        <v>283788.59143601102</v>
      </c>
      <c r="I125" s="23">
        <f ca="1">MAX(0,ROUND($I$7-$H$7-H125-SUM($G$8:G125),0))</f>
        <v>1387092</v>
      </c>
      <c r="J125" s="208">
        <f t="shared" ca="1" si="9"/>
        <v>117</v>
      </c>
    </row>
    <row r="126" spans="1:10" ht="15.75" customHeight="1" thickBot="1">
      <c r="A126" s="237">
        <f t="shared" ca="1" si="10"/>
        <v>49871</v>
      </c>
      <c r="B126" s="238">
        <f t="shared" ca="1" si="11"/>
        <v>111339</v>
      </c>
      <c r="C126" s="238">
        <f t="shared" ca="1" si="12"/>
        <v>1272413</v>
      </c>
      <c r="D126" s="155">
        <f t="shared" ca="1" si="13"/>
        <v>118</v>
      </c>
      <c r="E126" s="209">
        <f t="shared" ca="1" si="8"/>
        <v>10</v>
      </c>
      <c r="F126" s="10">
        <f t="shared" ca="1" si="14"/>
        <v>49871</v>
      </c>
      <c r="G126" s="156">
        <f t="shared" ca="1" si="15"/>
        <v>111338.56071583561</v>
      </c>
      <c r="H126" s="156">
        <f ca="1">SUM($G$8:G126)*gamma</f>
        <v>287128.74825748609</v>
      </c>
      <c r="I126" s="23">
        <f ca="1">MAX(0,ROUND($I$7-$H$7-H126-SUM($G$8:G126),0))</f>
        <v>1272413</v>
      </c>
      <c r="J126" s="208">
        <f t="shared" ca="1" si="9"/>
        <v>118</v>
      </c>
    </row>
    <row r="127" spans="1:10" ht="15.75" customHeight="1" thickBot="1">
      <c r="A127" s="237">
        <f t="shared" ca="1" si="10"/>
        <v>49902</v>
      </c>
      <c r="B127" s="238">
        <f t="shared" ca="1" si="11"/>
        <v>111339</v>
      </c>
      <c r="C127" s="238">
        <f t="shared" ca="1" si="12"/>
        <v>1157734</v>
      </c>
      <c r="D127" s="155">
        <f t="shared" ca="1" si="13"/>
        <v>119</v>
      </c>
      <c r="E127" s="209">
        <f t="shared" ca="1" si="8"/>
        <v>11</v>
      </c>
      <c r="F127" s="10">
        <f t="shared" ca="1" si="14"/>
        <v>49902</v>
      </c>
      <c r="G127" s="156">
        <f t="shared" ca="1" si="15"/>
        <v>111338.56071583561</v>
      </c>
      <c r="H127" s="156">
        <f ca="1">SUM($G$8:G127)*gamma</f>
        <v>290468.90507896116</v>
      </c>
      <c r="I127" s="23">
        <f ca="1">MAX(0,ROUND($I$7-$H$7-H127-SUM($G$8:G127),0))</f>
        <v>1157734</v>
      </c>
      <c r="J127" s="208">
        <f t="shared" ca="1" si="9"/>
        <v>119</v>
      </c>
    </row>
    <row r="128" spans="1:10" ht="15.75" customHeight="1" thickBot="1">
      <c r="A128" s="237">
        <f t="shared" ca="1" si="10"/>
        <v>49933</v>
      </c>
      <c r="B128" s="238">
        <f t="shared" ca="1" si="11"/>
        <v>120246</v>
      </c>
      <c r="C128" s="238">
        <f t="shared" ca="1" si="12"/>
        <v>1033881</v>
      </c>
      <c r="D128" s="155">
        <f t="shared" ca="1" si="13"/>
        <v>120</v>
      </c>
      <c r="E128" s="209">
        <f t="shared" ca="1" si="8"/>
        <v>0</v>
      </c>
      <c r="F128" s="10">
        <f t="shared" ca="1" si="14"/>
        <v>49933</v>
      </c>
      <c r="G128" s="156">
        <f t="shared" ca="1" si="15"/>
        <v>120245.64557310248</v>
      </c>
      <c r="H128" s="156">
        <f ca="1">SUM($G$8:G128)*gamma</f>
        <v>294076.27444615425</v>
      </c>
      <c r="I128" s="23">
        <f ca="1">MAX(0,ROUND($I$7-$H$7-H128-SUM($G$8:G128),0))</f>
        <v>1033881</v>
      </c>
      <c r="J128" s="208">
        <f t="shared" ca="1" si="9"/>
        <v>120</v>
      </c>
    </row>
    <row r="129" spans="1:10" ht="15.75" customHeight="1" thickBot="1">
      <c r="A129" s="237">
        <f t="shared" ca="1" si="10"/>
        <v>49963</v>
      </c>
      <c r="B129" s="238">
        <f t="shared" ca="1" si="11"/>
        <v>120246</v>
      </c>
      <c r="C129" s="238">
        <f t="shared" ca="1" si="12"/>
        <v>910028</v>
      </c>
      <c r="D129" s="155">
        <f t="shared" ca="1" si="13"/>
        <v>121</v>
      </c>
      <c r="E129" s="209">
        <f t="shared" ca="1" si="8"/>
        <v>1</v>
      </c>
      <c r="F129" s="10">
        <f t="shared" ca="1" si="14"/>
        <v>49963</v>
      </c>
      <c r="G129" s="156">
        <f t="shared" ca="1" si="15"/>
        <v>120245.64557310248</v>
      </c>
      <c r="H129" s="156">
        <f ca="1">SUM($G$8:G129)*gamma</f>
        <v>297683.64381334727</v>
      </c>
      <c r="I129" s="23">
        <f ca="1">MAX(0,ROUND($I$7-$H$7-H129-SUM($G$8:G129),0))</f>
        <v>910028</v>
      </c>
      <c r="J129" s="208">
        <f t="shared" ca="1" si="9"/>
        <v>121</v>
      </c>
    </row>
    <row r="130" spans="1:10" ht="15.75" customHeight="1" thickBot="1">
      <c r="A130" s="237">
        <f t="shared" ca="1" si="10"/>
        <v>49994</v>
      </c>
      <c r="B130" s="238">
        <f t="shared" ca="1" si="11"/>
        <v>120246</v>
      </c>
      <c r="C130" s="238">
        <f t="shared" ca="1" si="12"/>
        <v>786175</v>
      </c>
      <c r="D130" s="155">
        <f t="shared" ca="1" si="13"/>
        <v>122</v>
      </c>
      <c r="E130" s="209">
        <f t="shared" ca="1" si="8"/>
        <v>2</v>
      </c>
      <c r="F130" s="10">
        <f t="shared" ca="1" si="14"/>
        <v>49994</v>
      </c>
      <c r="G130" s="156">
        <f t="shared" ca="1" si="15"/>
        <v>120245.64557310248</v>
      </c>
      <c r="H130" s="156">
        <f ca="1">SUM($G$8:G130)*gamma</f>
        <v>301291.01318054035</v>
      </c>
      <c r="I130" s="23">
        <f ca="1">MAX(0,ROUND($I$7-$H$7-H130-SUM($G$8:G130),0))</f>
        <v>786175</v>
      </c>
      <c r="J130" s="208">
        <f t="shared" ca="1" si="9"/>
        <v>122</v>
      </c>
    </row>
    <row r="131" spans="1:10" ht="15.75" customHeight="1" thickBot="1">
      <c r="A131" s="237">
        <f t="shared" ca="1" si="10"/>
        <v>50024</v>
      </c>
      <c r="B131" s="238">
        <f t="shared" ca="1" si="11"/>
        <v>120246</v>
      </c>
      <c r="C131" s="238">
        <f t="shared" ca="1" si="12"/>
        <v>662322</v>
      </c>
      <c r="D131" s="155">
        <f t="shared" ca="1" si="13"/>
        <v>123</v>
      </c>
      <c r="E131" s="209">
        <f t="shared" ca="1" si="8"/>
        <v>3</v>
      </c>
      <c r="F131" s="10">
        <f t="shared" ca="1" si="14"/>
        <v>50024</v>
      </c>
      <c r="G131" s="156">
        <f t="shared" ca="1" si="15"/>
        <v>120245.64557310248</v>
      </c>
      <c r="H131" s="156">
        <f ca="1">SUM($G$8:G131)*gamma</f>
        <v>304898.38254773337</v>
      </c>
      <c r="I131" s="23">
        <f ca="1">MAX(0,ROUND($I$7-$H$7-H131-SUM($G$8:G131),0))</f>
        <v>662322</v>
      </c>
      <c r="J131" s="208">
        <f t="shared" ca="1" si="9"/>
        <v>123</v>
      </c>
    </row>
    <row r="132" spans="1:10" ht="15.75" customHeight="1" thickBot="1">
      <c r="A132" s="237">
        <f t="shared" ca="1" si="10"/>
        <v>50055</v>
      </c>
      <c r="B132" s="238">
        <f t="shared" ca="1" si="11"/>
        <v>120246</v>
      </c>
      <c r="C132" s="238">
        <f t="shared" ca="1" si="12"/>
        <v>538469</v>
      </c>
      <c r="D132" s="155">
        <f t="shared" ca="1" si="13"/>
        <v>124</v>
      </c>
      <c r="E132" s="209">
        <f t="shared" ca="1" si="8"/>
        <v>4</v>
      </c>
      <c r="F132" s="10">
        <f t="shared" ca="1" si="14"/>
        <v>50055</v>
      </c>
      <c r="G132" s="156">
        <f t="shared" ca="1" si="15"/>
        <v>120245.64557310248</v>
      </c>
      <c r="H132" s="156">
        <f ca="1">SUM($G$8:G132)*gamma</f>
        <v>308505.75191492646</v>
      </c>
      <c r="I132" s="23">
        <f ca="1">MAX(0,ROUND($I$7-$H$7-H132-SUM($G$8:G132),0))</f>
        <v>538469</v>
      </c>
      <c r="J132" s="208">
        <f t="shared" ca="1" si="9"/>
        <v>124</v>
      </c>
    </row>
    <row r="133" spans="1:10" ht="15.75" customHeight="1" thickBot="1">
      <c r="A133" s="237">
        <f t="shared" ca="1" si="10"/>
        <v>50086</v>
      </c>
      <c r="B133" s="238">
        <f t="shared" ca="1" si="11"/>
        <v>120246</v>
      </c>
      <c r="C133" s="238">
        <f t="shared" ca="1" si="12"/>
        <v>414616</v>
      </c>
      <c r="D133" s="155">
        <f t="shared" ca="1" si="13"/>
        <v>125</v>
      </c>
      <c r="E133" s="209">
        <f t="shared" ca="1" si="8"/>
        <v>5</v>
      </c>
      <c r="F133" s="10">
        <f t="shared" ca="1" si="14"/>
        <v>50086</v>
      </c>
      <c r="G133" s="156">
        <f t="shared" ca="1" si="15"/>
        <v>120245.64557310248</v>
      </c>
      <c r="H133" s="156">
        <f ca="1">SUM($G$8:G133)*gamma</f>
        <v>312113.12128211954</v>
      </c>
      <c r="I133" s="23">
        <f ca="1">MAX(0,ROUND($I$7-$H$7-H133-SUM($G$8:G133),0))</f>
        <v>414616</v>
      </c>
      <c r="J133" s="208">
        <f t="shared" ca="1" si="9"/>
        <v>125</v>
      </c>
    </row>
    <row r="134" spans="1:10" ht="15.75" customHeight="1" thickBot="1">
      <c r="A134" s="237">
        <f t="shared" ca="1" si="10"/>
        <v>50114</v>
      </c>
      <c r="B134" s="238">
        <f t="shared" ca="1" si="11"/>
        <v>120246</v>
      </c>
      <c r="C134" s="238">
        <f t="shared" ca="1" si="12"/>
        <v>290763</v>
      </c>
      <c r="D134" s="155">
        <f t="shared" ca="1" si="13"/>
        <v>126</v>
      </c>
      <c r="E134" s="209">
        <f t="shared" ca="1" si="8"/>
        <v>6</v>
      </c>
      <c r="F134" s="10">
        <f t="shared" ca="1" si="14"/>
        <v>50114</v>
      </c>
      <c r="G134" s="156">
        <f t="shared" ca="1" si="15"/>
        <v>120245.64557310248</v>
      </c>
      <c r="H134" s="156">
        <f ca="1">SUM($G$8:G134)*gamma</f>
        <v>315720.49064931256</v>
      </c>
      <c r="I134" s="23">
        <f ca="1">MAX(0,ROUND($I$7-$H$7-H134-SUM($G$8:G134),0))</f>
        <v>290763</v>
      </c>
      <c r="J134" s="208">
        <f t="shared" ca="1" si="9"/>
        <v>126</v>
      </c>
    </row>
    <row r="135" spans="1:10" ht="15.75" customHeight="1" thickBot="1">
      <c r="A135" s="237">
        <f t="shared" ca="1" si="10"/>
        <v>50145</v>
      </c>
      <c r="B135" s="238">
        <f t="shared" ca="1" si="11"/>
        <v>120246</v>
      </c>
      <c r="C135" s="238">
        <f t="shared" ca="1" si="12"/>
        <v>166910</v>
      </c>
      <c r="D135" s="155">
        <f t="shared" ca="1" si="13"/>
        <v>127</v>
      </c>
      <c r="E135" s="209">
        <f t="shared" ca="1" si="8"/>
        <v>7</v>
      </c>
      <c r="F135" s="10">
        <f t="shared" ca="1" si="14"/>
        <v>50145</v>
      </c>
      <c r="G135" s="156">
        <f t="shared" ca="1" si="15"/>
        <v>120245.64557310248</v>
      </c>
      <c r="H135" s="156">
        <f ca="1">SUM($G$8:G135)*gamma</f>
        <v>319327.86001650564</v>
      </c>
      <c r="I135" s="23">
        <f ca="1">MAX(0,ROUND($I$7-$H$7-H135-SUM($G$8:G135),0))</f>
        <v>166910</v>
      </c>
      <c r="J135" s="208">
        <f t="shared" ca="1" si="9"/>
        <v>127</v>
      </c>
    </row>
    <row r="136" spans="1:10" ht="15.75" customHeight="1" thickBot="1">
      <c r="A136" s="237">
        <f t="shared" ca="1" si="10"/>
        <v>50175</v>
      </c>
      <c r="B136" s="238">
        <f t="shared" ca="1" si="11"/>
        <v>120246</v>
      </c>
      <c r="C136" s="238">
        <f t="shared" ca="1" si="12"/>
        <v>43057</v>
      </c>
      <c r="D136" s="155">
        <f t="shared" ca="1" si="13"/>
        <v>128</v>
      </c>
      <c r="E136" s="209">
        <f t="shared" ref="E136:E199" ca="1" si="16">MOD(J136,12)</f>
        <v>8</v>
      </c>
      <c r="F136" s="10">
        <f t="shared" ca="1" si="14"/>
        <v>50175</v>
      </c>
      <c r="G136" s="156">
        <f t="shared" ca="1" si="15"/>
        <v>120245.64557310248</v>
      </c>
      <c r="H136" s="156">
        <f ca="1">SUM($G$8:G136)*gamma</f>
        <v>322935.22938369866</v>
      </c>
      <c r="I136" s="23">
        <f ca="1">MAX(0,ROUND($I$7-$H$7-H136-SUM($G$8:G136),0))</f>
        <v>43057</v>
      </c>
      <c r="J136" s="208">
        <f t="shared" ref="J136:J199" ca="1" si="17">IF(G135&gt;0,1+J135,0)</f>
        <v>128</v>
      </c>
    </row>
    <row r="137" spans="1:10" ht="15.75" customHeight="1" thickBot="1">
      <c r="A137" s="237">
        <f t="shared" ref="A137:A200" ca="1" si="18">IF(d_plast&gt;=F137,F137,"")</f>
        <v>50206</v>
      </c>
      <c r="B137" s="238">
        <f t="shared" ref="B137:B200" ca="1" si="19">IF(A137="","",ROUND(G137,0))</f>
        <v>120246</v>
      </c>
      <c r="C137" s="238">
        <f t="shared" ref="C137:C200" ca="1" si="20">IF(A137&lt;&gt;"",IF(end=2,IF(D137&lt;24,0,I137),I137),"")</f>
        <v>0</v>
      </c>
      <c r="D137" s="155">
        <f t="shared" ref="D137:D200" ca="1" si="21">D136+freq_2</f>
        <v>129</v>
      </c>
      <c r="E137" s="209">
        <f t="shared" ca="1" si="16"/>
        <v>9</v>
      </c>
      <c r="F137" s="10">
        <f t="shared" ref="F137:F200" ca="1" si="22">EDATE($F$8,D137)</f>
        <v>50206</v>
      </c>
      <c r="G137" s="156">
        <f t="shared" ref="G137:G200" ca="1" si="23">IF(A137&lt;d_begin,0,IF(G136=0,Ben,IF(E137=0,G136*(1+index),G136)))</f>
        <v>120245.64557310248</v>
      </c>
      <c r="H137" s="156">
        <f ca="1">SUM($G$8:G137)*gamma</f>
        <v>326542.59875089175</v>
      </c>
      <c r="I137" s="23">
        <f ca="1">MAX(0,ROUND($I$7-$H$7-H137-SUM($G$8:G137),0))</f>
        <v>0</v>
      </c>
      <c r="J137" s="208">
        <f t="shared" ca="1" si="17"/>
        <v>129</v>
      </c>
    </row>
    <row r="138" spans="1:10" ht="15.75" customHeight="1" thickBot="1">
      <c r="A138" s="237">
        <f t="shared" ca="1" si="18"/>
        <v>50236</v>
      </c>
      <c r="B138" s="238">
        <f t="shared" ca="1" si="19"/>
        <v>120246</v>
      </c>
      <c r="C138" s="238">
        <f t="shared" ca="1" si="20"/>
        <v>0</v>
      </c>
      <c r="D138" s="155">
        <f t="shared" ca="1" si="21"/>
        <v>130</v>
      </c>
      <c r="E138" s="209">
        <f t="shared" ca="1" si="16"/>
        <v>10</v>
      </c>
      <c r="F138" s="10">
        <f t="shared" ca="1" si="22"/>
        <v>50236</v>
      </c>
      <c r="G138" s="156">
        <f t="shared" ca="1" si="23"/>
        <v>120245.64557310248</v>
      </c>
      <c r="H138" s="156">
        <f ca="1">SUM($G$8:G138)*gamma</f>
        <v>330149.96811808483</v>
      </c>
      <c r="I138" s="23">
        <f ca="1">MAX(0,ROUND($I$7-$H$7-H138-SUM($G$8:G138),0))</f>
        <v>0</v>
      </c>
      <c r="J138" s="208">
        <f t="shared" ca="1" si="17"/>
        <v>130</v>
      </c>
    </row>
    <row r="139" spans="1:10" ht="15.75" customHeight="1" thickBot="1">
      <c r="A139" s="237">
        <f t="shared" ca="1" si="18"/>
        <v>50267</v>
      </c>
      <c r="B139" s="238">
        <f t="shared" ca="1" si="19"/>
        <v>120246</v>
      </c>
      <c r="C139" s="238">
        <f t="shared" ca="1" si="20"/>
        <v>0</v>
      </c>
      <c r="D139" s="155">
        <f t="shared" ca="1" si="21"/>
        <v>131</v>
      </c>
      <c r="E139" s="209">
        <f t="shared" ca="1" si="16"/>
        <v>11</v>
      </c>
      <c r="F139" s="10">
        <f t="shared" ca="1" si="22"/>
        <v>50267</v>
      </c>
      <c r="G139" s="156">
        <f t="shared" ca="1" si="23"/>
        <v>120245.64557310248</v>
      </c>
      <c r="H139" s="156">
        <f ca="1">SUM($G$8:G139)*gamma</f>
        <v>333757.33748527785</v>
      </c>
      <c r="I139" s="23">
        <f ca="1">MAX(0,ROUND($I$7-$H$7-H139-SUM($G$8:G139),0))</f>
        <v>0</v>
      </c>
      <c r="J139" s="208">
        <f t="shared" ca="1" si="17"/>
        <v>131</v>
      </c>
    </row>
    <row r="140" spans="1:10" ht="15.75" customHeight="1" thickBot="1">
      <c r="A140" s="237">
        <f t="shared" ca="1" si="18"/>
        <v>50298</v>
      </c>
      <c r="B140" s="238">
        <f t="shared" ca="1" si="19"/>
        <v>129865</v>
      </c>
      <c r="C140" s="238">
        <f t="shared" ca="1" si="20"/>
        <v>0</v>
      </c>
      <c r="D140" s="155">
        <f t="shared" ca="1" si="21"/>
        <v>132</v>
      </c>
      <c r="E140" s="209">
        <f t="shared" ca="1" si="16"/>
        <v>0</v>
      </c>
      <c r="F140" s="10">
        <f t="shared" ca="1" si="22"/>
        <v>50298</v>
      </c>
      <c r="G140" s="156">
        <f t="shared" ca="1" si="23"/>
        <v>129865.29721895068</v>
      </c>
      <c r="H140" s="156">
        <f ca="1">SUM($G$8:G140)*gamma</f>
        <v>337653.2964018464</v>
      </c>
      <c r="I140" s="23">
        <f ca="1">MAX(0,ROUND($I$7-$H$7-H140-SUM($G$8:G140),0))</f>
        <v>0</v>
      </c>
      <c r="J140" s="208">
        <f t="shared" ca="1" si="17"/>
        <v>132</v>
      </c>
    </row>
    <row r="141" spans="1:10" ht="15.75" customHeight="1" thickBot="1">
      <c r="A141" s="237">
        <f t="shared" ca="1" si="18"/>
        <v>50328</v>
      </c>
      <c r="B141" s="238">
        <f t="shared" ca="1" si="19"/>
        <v>129865</v>
      </c>
      <c r="C141" s="238">
        <f t="shared" ca="1" si="20"/>
        <v>0</v>
      </c>
      <c r="D141" s="155">
        <f t="shared" ca="1" si="21"/>
        <v>133</v>
      </c>
      <c r="E141" s="209">
        <f t="shared" ca="1" si="16"/>
        <v>1</v>
      </c>
      <c r="F141" s="10">
        <f t="shared" ca="1" si="22"/>
        <v>50328</v>
      </c>
      <c r="G141" s="156">
        <f t="shared" ca="1" si="23"/>
        <v>129865.29721895068</v>
      </c>
      <c r="H141" s="156">
        <f ca="1">SUM($G$8:G141)*gamma</f>
        <v>341549.25531841489</v>
      </c>
      <c r="I141" s="23">
        <f ca="1">MAX(0,ROUND($I$7-$H$7-H141-SUM($G$8:G141),0))</f>
        <v>0</v>
      </c>
      <c r="J141" s="208">
        <f t="shared" ca="1" si="17"/>
        <v>133</v>
      </c>
    </row>
    <row r="142" spans="1:10" ht="15.75" customHeight="1" thickBot="1">
      <c r="A142" s="237">
        <f t="shared" ca="1" si="18"/>
        <v>50359</v>
      </c>
      <c r="B142" s="238">
        <f t="shared" ca="1" si="19"/>
        <v>129865</v>
      </c>
      <c r="C142" s="238">
        <f t="shared" ca="1" si="20"/>
        <v>0</v>
      </c>
      <c r="D142" s="155">
        <f t="shared" ca="1" si="21"/>
        <v>134</v>
      </c>
      <c r="E142" s="209">
        <f t="shared" ca="1" si="16"/>
        <v>2</v>
      </c>
      <c r="F142" s="10">
        <f t="shared" ca="1" si="22"/>
        <v>50359</v>
      </c>
      <c r="G142" s="156">
        <f t="shared" ca="1" si="23"/>
        <v>129865.29721895068</v>
      </c>
      <c r="H142" s="156">
        <f ca="1">SUM($G$8:G142)*gamma</f>
        <v>345445.21423498343</v>
      </c>
      <c r="I142" s="23">
        <f ca="1">MAX(0,ROUND($I$7-$H$7-H142-SUM($G$8:G142),0))</f>
        <v>0</v>
      </c>
      <c r="J142" s="208">
        <f t="shared" ca="1" si="17"/>
        <v>134</v>
      </c>
    </row>
    <row r="143" spans="1:10" ht="15.75" customHeight="1" thickBot="1">
      <c r="A143" s="237">
        <f t="shared" ca="1" si="18"/>
        <v>50389</v>
      </c>
      <c r="B143" s="238">
        <f t="shared" ca="1" si="19"/>
        <v>129865</v>
      </c>
      <c r="C143" s="238">
        <f t="shared" ca="1" si="20"/>
        <v>0</v>
      </c>
      <c r="D143" s="155">
        <f t="shared" ca="1" si="21"/>
        <v>135</v>
      </c>
      <c r="E143" s="209">
        <f t="shared" ca="1" si="16"/>
        <v>3</v>
      </c>
      <c r="F143" s="10">
        <f t="shared" ca="1" si="22"/>
        <v>50389</v>
      </c>
      <c r="G143" s="156">
        <f t="shared" ca="1" si="23"/>
        <v>129865.29721895068</v>
      </c>
      <c r="H143" s="156">
        <f ca="1">SUM($G$8:G143)*gamma</f>
        <v>349341.17315155192</v>
      </c>
      <c r="I143" s="23">
        <f ca="1">MAX(0,ROUND($I$7-$H$7-H143-SUM($G$8:G143),0))</f>
        <v>0</v>
      </c>
      <c r="J143" s="208">
        <f t="shared" ca="1" si="17"/>
        <v>135</v>
      </c>
    </row>
    <row r="144" spans="1:10" ht="15.75" customHeight="1" thickBot="1">
      <c r="A144" s="237">
        <f t="shared" ca="1" si="18"/>
        <v>50420</v>
      </c>
      <c r="B144" s="238">
        <f t="shared" ca="1" si="19"/>
        <v>129865</v>
      </c>
      <c r="C144" s="238">
        <f t="shared" ca="1" si="20"/>
        <v>0</v>
      </c>
      <c r="D144" s="155">
        <f t="shared" ca="1" si="21"/>
        <v>136</v>
      </c>
      <c r="E144" s="209">
        <f t="shared" ca="1" si="16"/>
        <v>4</v>
      </c>
      <c r="F144" s="10">
        <f t="shared" ca="1" si="22"/>
        <v>50420</v>
      </c>
      <c r="G144" s="156">
        <f t="shared" ca="1" si="23"/>
        <v>129865.29721895068</v>
      </c>
      <c r="H144" s="156">
        <f ca="1">SUM($G$8:G144)*gamma</f>
        <v>353237.13206812041</v>
      </c>
      <c r="I144" s="23">
        <f ca="1">MAX(0,ROUND($I$7-$H$7-H144-SUM($G$8:G144),0))</f>
        <v>0</v>
      </c>
      <c r="J144" s="208">
        <f t="shared" ca="1" si="17"/>
        <v>136</v>
      </c>
    </row>
    <row r="145" spans="1:10" ht="15.75" customHeight="1" thickBot="1">
      <c r="A145" s="237">
        <f t="shared" ca="1" si="18"/>
        <v>50451</v>
      </c>
      <c r="B145" s="238">
        <f t="shared" ca="1" si="19"/>
        <v>129865</v>
      </c>
      <c r="C145" s="238">
        <f t="shared" ca="1" si="20"/>
        <v>0</v>
      </c>
      <c r="D145" s="155">
        <f t="shared" ca="1" si="21"/>
        <v>137</v>
      </c>
      <c r="E145" s="209">
        <f t="shared" ca="1" si="16"/>
        <v>5</v>
      </c>
      <c r="F145" s="10">
        <f t="shared" ca="1" si="22"/>
        <v>50451</v>
      </c>
      <c r="G145" s="156">
        <f t="shared" ca="1" si="23"/>
        <v>129865.29721895068</v>
      </c>
      <c r="H145" s="156">
        <f ca="1">SUM($G$8:G145)*gamma</f>
        <v>357133.09098468896</v>
      </c>
      <c r="I145" s="23">
        <f ca="1">MAX(0,ROUND($I$7-$H$7-H145-SUM($G$8:G145),0))</f>
        <v>0</v>
      </c>
      <c r="J145" s="208">
        <f t="shared" ca="1" si="17"/>
        <v>137</v>
      </c>
    </row>
    <row r="146" spans="1:10" ht="15.75" customHeight="1" thickBot="1">
      <c r="A146" s="237">
        <f t="shared" ca="1" si="18"/>
        <v>50479</v>
      </c>
      <c r="B146" s="238">
        <f t="shared" ca="1" si="19"/>
        <v>129865</v>
      </c>
      <c r="C146" s="238">
        <f t="shared" ca="1" si="20"/>
        <v>0</v>
      </c>
      <c r="D146" s="155">
        <f t="shared" ca="1" si="21"/>
        <v>138</v>
      </c>
      <c r="E146" s="209">
        <f t="shared" ca="1" si="16"/>
        <v>6</v>
      </c>
      <c r="F146" s="10">
        <f t="shared" ca="1" si="22"/>
        <v>50479</v>
      </c>
      <c r="G146" s="156">
        <f t="shared" ca="1" si="23"/>
        <v>129865.29721895068</v>
      </c>
      <c r="H146" s="156">
        <f ca="1">SUM($G$8:G146)*gamma</f>
        <v>361029.04990125744</v>
      </c>
      <c r="I146" s="23">
        <f ca="1">MAX(0,ROUND($I$7-$H$7-H146-SUM($G$8:G146),0))</f>
        <v>0</v>
      </c>
      <c r="J146" s="208">
        <f t="shared" ca="1" si="17"/>
        <v>138</v>
      </c>
    </row>
    <row r="147" spans="1:10" ht="15.75" customHeight="1" thickBot="1">
      <c r="A147" s="237">
        <f t="shared" ca="1" si="18"/>
        <v>50510</v>
      </c>
      <c r="B147" s="238">
        <f t="shared" ca="1" si="19"/>
        <v>129865</v>
      </c>
      <c r="C147" s="238">
        <f t="shared" ca="1" si="20"/>
        <v>0</v>
      </c>
      <c r="D147" s="155">
        <f t="shared" ca="1" si="21"/>
        <v>139</v>
      </c>
      <c r="E147" s="209">
        <f t="shared" ca="1" si="16"/>
        <v>7</v>
      </c>
      <c r="F147" s="10">
        <f t="shared" ca="1" si="22"/>
        <v>50510</v>
      </c>
      <c r="G147" s="156">
        <f t="shared" ca="1" si="23"/>
        <v>129865.29721895068</v>
      </c>
      <c r="H147" s="156">
        <f ca="1">SUM($G$8:G147)*gamma</f>
        <v>364925.00881782599</v>
      </c>
      <c r="I147" s="23">
        <f ca="1">MAX(0,ROUND($I$7-$H$7-H147-SUM($G$8:G147),0))</f>
        <v>0</v>
      </c>
      <c r="J147" s="208">
        <f t="shared" ca="1" si="17"/>
        <v>139</v>
      </c>
    </row>
    <row r="148" spans="1:10" ht="15.75" customHeight="1" thickBot="1">
      <c r="A148" s="237">
        <f t="shared" ca="1" si="18"/>
        <v>50540</v>
      </c>
      <c r="B148" s="238">
        <f t="shared" ca="1" si="19"/>
        <v>129865</v>
      </c>
      <c r="C148" s="238">
        <f t="shared" ca="1" si="20"/>
        <v>0</v>
      </c>
      <c r="D148" s="155">
        <f t="shared" ca="1" si="21"/>
        <v>140</v>
      </c>
      <c r="E148" s="209">
        <f t="shared" ca="1" si="16"/>
        <v>8</v>
      </c>
      <c r="F148" s="10">
        <f t="shared" ca="1" si="22"/>
        <v>50540</v>
      </c>
      <c r="G148" s="156">
        <f t="shared" ca="1" si="23"/>
        <v>129865.29721895068</v>
      </c>
      <c r="H148" s="156">
        <f ca="1">SUM($G$8:G148)*gamma</f>
        <v>368820.96773439448</v>
      </c>
      <c r="I148" s="23">
        <f ca="1">MAX(0,ROUND($I$7-$H$7-H148-SUM($G$8:G148),0))</f>
        <v>0</v>
      </c>
      <c r="J148" s="208">
        <f t="shared" ca="1" si="17"/>
        <v>140</v>
      </c>
    </row>
    <row r="149" spans="1:10" ht="15.75" customHeight="1" thickBot="1">
      <c r="A149" s="237">
        <f t="shared" ca="1" si="18"/>
        <v>50571</v>
      </c>
      <c r="B149" s="238">
        <f t="shared" ca="1" si="19"/>
        <v>129865</v>
      </c>
      <c r="C149" s="238">
        <f t="shared" ca="1" si="20"/>
        <v>0</v>
      </c>
      <c r="D149" s="155">
        <f t="shared" ca="1" si="21"/>
        <v>141</v>
      </c>
      <c r="E149" s="209">
        <f t="shared" ca="1" si="16"/>
        <v>9</v>
      </c>
      <c r="F149" s="10">
        <f t="shared" ca="1" si="22"/>
        <v>50571</v>
      </c>
      <c r="G149" s="156">
        <f t="shared" ca="1" si="23"/>
        <v>129865.29721895068</v>
      </c>
      <c r="H149" s="156">
        <f ca="1">SUM($G$8:G149)*gamma</f>
        <v>372716.92665096303</v>
      </c>
      <c r="I149" s="23">
        <f ca="1">MAX(0,ROUND($I$7-$H$7-H149-SUM($G$8:G149),0))</f>
        <v>0</v>
      </c>
      <c r="J149" s="208">
        <f t="shared" ca="1" si="17"/>
        <v>141</v>
      </c>
    </row>
    <row r="150" spans="1:10" ht="15.75" customHeight="1" thickBot="1">
      <c r="A150" s="237">
        <f t="shared" ca="1" si="18"/>
        <v>50601</v>
      </c>
      <c r="B150" s="238">
        <f t="shared" ca="1" si="19"/>
        <v>129865</v>
      </c>
      <c r="C150" s="238">
        <f t="shared" ca="1" si="20"/>
        <v>0</v>
      </c>
      <c r="D150" s="155">
        <f t="shared" ca="1" si="21"/>
        <v>142</v>
      </c>
      <c r="E150" s="209">
        <f t="shared" ca="1" si="16"/>
        <v>10</v>
      </c>
      <c r="F150" s="10">
        <f t="shared" ca="1" si="22"/>
        <v>50601</v>
      </c>
      <c r="G150" s="156">
        <f t="shared" ca="1" si="23"/>
        <v>129865.29721895068</v>
      </c>
      <c r="H150" s="156">
        <f ca="1">SUM($G$8:G150)*gamma</f>
        <v>376612.88556753151</v>
      </c>
      <c r="I150" s="23">
        <f ca="1">MAX(0,ROUND($I$7-$H$7-H150-SUM($G$8:G150),0))</f>
        <v>0</v>
      </c>
      <c r="J150" s="208">
        <f t="shared" ca="1" si="17"/>
        <v>142</v>
      </c>
    </row>
    <row r="151" spans="1:10" ht="15.75" customHeight="1" thickBot="1">
      <c r="A151" s="237">
        <f t="shared" ca="1" si="18"/>
        <v>50632</v>
      </c>
      <c r="B151" s="238">
        <f t="shared" ca="1" si="19"/>
        <v>129865</v>
      </c>
      <c r="C151" s="238">
        <f t="shared" ca="1" si="20"/>
        <v>0</v>
      </c>
      <c r="D151" s="155">
        <f t="shared" ca="1" si="21"/>
        <v>143</v>
      </c>
      <c r="E151" s="209">
        <f t="shared" ca="1" si="16"/>
        <v>11</v>
      </c>
      <c r="F151" s="10">
        <f t="shared" ca="1" si="22"/>
        <v>50632</v>
      </c>
      <c r="G151" s="156">
        <f t="shared" ca="1" si="23"/>
        <v>129865.29721895068</v>
      </c>
      <c r="H151" s="156">
        <f ca="1">SUM($G$8:G151)*gamma</f>
        <v>380508.8444841</v>
      </c>
      <c r="I151" s="23">
        <f ca="1">MAX(0,ROUND($I$7-$H$7-H151-SUM($G$8:G151),0))</f>
        <v>0</v>
      </c>
      <c r="J151" s="208">
        <f t="shared" ca="1" si="17"/>
        <v>143</v>
      </c>
    </row>
    <row r="152" spans="1:10" ht="15.75" customHeight="1" thickBot="1">
      <c r="A152" s="237">
        <f t="shared" ca="1" si="18"/>
        <v>50663</v>
      </c>
      <c r="B152" s="238">
        <f t="shared" ca="1" si="19"/>
        <v>140255</v>
      </c>
      <c r="C152" s="238">
        <f t="shared" ca="1" si="20"/>
        <v>0</v>
      </c>
      <c r="D152" s="155">
        <f t="shared" ca="1" si="21"/>
        <v>144</v>
      </c>
      <c r="E152" s="209">
        <f t="shared" ca="1" si="16"/>
        <v>0</v>
      </c>
      <c r="F152" s="10">
        <f t="shared" ca="1" si="22"/>
        <v>50663</v>
      </c>
      <c r="G152" s="156">
        <f t="shared" ca="1" si="23"/>
        <v>140254.52099646674</v>
      </c>
      <c r="H152" s="156">
        <f ca="1">SUM($G$8:G152)*gamma</f>
        <v>384716.48011399404</v>
      </c>
      <c r="I152" s="23">
        <f ca="1">MAX(0,ROUND($I$7-$H$7-H152-SUM($G$8:G152),0))</f>
        <v>0</v>
      </c>
      <c r="J152" s="208">
        <f t="shared" ca="1" si="17"/>
        <v>144</v>
      </c>
    </row>
    <row r="153" spans="1:10" ht="15.75" customHeight="1" thickBot="1">
      <c r="A153" s="237">
        <f t="shared" ca="1" si="18"/>
        <v>50693</v>
      </c>
      <c r="B153" s="238">
        <f t="shared" ca="1" si="19"/>
        <v>140255</v>
      </c>
      <c r="C153" s="238">
        <f t="shared" ca="1" si="20"/>
        <v>0</v>
      </c>
      <c r="D153" s="155">
        <f t="shared" ca="1" si="21"/>
        <v>145</v>
      </c>
      <c r="E153" s="209">
        <f t="shared" ca="1" si="16"/>
        <v>1</v>
      </c>
      <c r="F153" s="10">
        <f t="shared" ca="1" si="22"/>
        <v>50693</v>
      </c>
      <c r="G153" s="156">
        <f t="shared" ca="1" si="23"/>
        <v>140254.52099646674</v>
      </c>
      <c r="H153" s="156">
        <f ca="1">SUM($G$8:G153)*gamma</f>
        <v>388924.11574388802</v>
      </c>
      <c r="I153" s="23">
        <f ca="1">MAX(0,ROUND($I$7-$H$7-H153-SUM($G$8:G153),0))</f>
        <v>0</v>
      </c>
      <c r="J153" s="208">
        <f t="shared" ca="1" si="17"/>
        <v>145</v>
      </c>
    </row>
    <row r="154" spans="1:10" ht="15.75" customHeight="1" thickBot="1">
      <c r="A154" s="237">
        <f t="shared" ca="1" si="18"/>
        <v>50724</v>
      </c>
      <c r="B154" s="238">
        <f t="shared" ca="1" si="19"/>
        <v>140255</v>
      </c>
      <c r="C154" s="238">
        <f t="shared" ca="1" si="20"/>
        <v>0</v>
      </c>
      <c r="D154" s="155">
        <f t="shared" ca="1" si="21"/>
        <v>146</v>
      </c>
      <c r="E154" s="209">
        <f t="shared" ca="1" si="16"/>
        <v>2</v>
      </c>
      <c r="F154" s="10">
        <f t="shared" ca="1" si="22"/>
        <v>50724</v>
      </c>
      <c r="G154" s="156">
        <f t="shared" ca="1" si="23"/>
        <v>140254.52099646674</v>
      </c>
      <c r="H154" s="156">
        <f ca="1">SUM($G$8:G154)*gamma</f>
        <v>393131.751373782</v>
      </c>
      <c r="I154" s="23">
        <f ca="1">MAX(0,ROUND($I$7-$H$7-H154-SUM($G$8:G154),0))</f>
        <v>0</v>
      </c>
      <c r="J154" s="208">
        <f t="shared" ca="1" si="17"/>
        <v>146</v>
      </c>
    </row>
    <row r="155" spans="1:10" ht="15.75" customHeight="1" thickBot="1">
      <c r="A155" s="237">
        <f t="shared" ca="1" si="18"/>
        <v>50754</v>
      </c>
      <c r="B155" s="238">
        <f t="shared" ca="1" si="19"/>
        <v>140255</v>
      </c>
      <c r="C155" s="238">
        <f t="shared" ca="1" si="20"/>
        <v>0</v>
      </c>
      <c r="D155" s="155">
        <f t="shared" ca="1" si="21"/>
        <v>147</v>
      </c>
      <c r="E155" s="209">
        <f t="shared" ca="1" si="16"/>
        <v>3</v>
      </c>
      <c r="F155" s="10">
        <f t="shared" ca="1" si="22"/>
        <v>50754</v>
      </c>
      <c r="G155" s="156">
        <f t="shared" ca="1" si="23"/>
        <v>140254.52099646674</v>
      </c>
      <c r="H155" s="156">
        <f ca="1">SUM($G$8:G155)*gamma</f>
        <v>397339.38700367598</v>
      </c>
      <c r="I155" s="23">
        <f ca="1">MAX(0,ROUND($I$7-$H$7-H155-SUM($G$8:G155),0))</f>
        <v>0</v>
      </c>
      <c r="J155" s="208">
        <f t="shared" ca="1" si="17"/>
        <v>147</v>
      </c>
    </row>
    <row r="156" spans="1:10" ht="15.75" customHeight="1" thickBot="1">
      <c r="A156" s="237">
        <f t="shared" ca="1" si="18"/>
        <v>50785</v>
      </c>
      <c r="B156" s="238">
        <f t="shared" ca="1" si="19"/>
        <v>140255</v>
      </c>
      <c r="C156" s="238">
        <f t="shared" ca="1" si="20"/>
        <v>0</v>
      </c>
      <c r="D156" s="155">
        <f t="shared" ca="1" si="21"/>
        <v>148</v>
      </c>
      <c r="E156" s="209">
        <f t="shared" ca="1" si="16"/>
        <v>4</v>
      </c>
      <c r="F156" s="10">
        <f t="shared" ca="1" si="22"/>
        <v>50785</v>
      </c>
      <c r="G156" s="156">
        <f t="shared" ca="1" si="23"/>
        <v>140254.52099646674</v>
      </c>
      <c r="H156" s="156">
        <f ca="1">SUM($G$8:G156)*gamma</f>
        <v>401547.02263356996</v>
      </c>
      <c r="I156" s="23">
        <f ca="1">MAX(0,ROUND($I$7-$H$7-H156-SUM($G$8:G156),0))</f>
        <v>0</v>
      </c>
      <c r="J156" s="208">
        <f t="shared" ca="1" si="17"/>
        <v>148</v>
      </c>
    </row>
    <row r="157" spans="1:10" ht="15.75" customHeight="1" thickBot="1">
      <c r="A157" s="237">
        <f t="shared" ca="1" si="18"/>
        <v>50816</v>
      </c>
      <c r="B157" s="238">
        <f t="shared" ca="1" si="19"/>
        <v>140255</v>
      </c>
      <c r="C157" s="238">
        <f t="shared" ca="1" si="20"/>
        <v>0</v>
      </c>
      <c r="D157" s="155">
        <f t="shared" ca="1" si="21"/>
        <v>149</v>
      </c>
      <c r="E157" s="209">
        <f t="shared" ca="1" si="16"/>
        <v>5</v>
      </c>
      <c r="F157" s="10">
        <f t="shared" ca="1" si="22"/>
        <v>50816</v>
      </c>
      <c r="G157" s="156">
        <f t="shared" ca="1" si="23"/>
        <v>140254.52099646674</v>
      </c>
      <c r="H157" s="156">
        <f ca="1">SUM($G$8:G157)*gamma</f>
        <v>405754.65826346393</v>
      </c>
      <c r="I157" s="23">
        <f ca="1">MAX(0,ROUND($I$7-$H$7-H157-SUM($G$8:G157),0))</f>
        <v>0</v>
      </c>
      <c r="J157" s="208">
        <f t="shared" ca="1" si="17"/>
        <v>149</v>
      </c>
    </row>
    <row r="158" spans="1:10" ht="15.75" customHeight="1" thickBot="1">
      <c r="A158" s="237">
        <f t="shared" ca="1" si="18"/>
        <v>50844</v>
      </c>
      <c r="B158" s="238">
        <f t="shared" ca="1" si="19"/>
        <v>140255</v>
      </c>
      <c r="C158" s="238">
        <f t="shared" ca="1" si="20"/>
        <v>0</v>
      </c>
      <c r="D158" s="155">
        <f t="shared" ca="1" si="21"/>
        <v>150</v>
      </c>
      <c r="E158" s="209">
        <f t="shared" ca="1" si="16"/>
        <v>6</v>
      </c>
      <c r="F158" s="10">
        <f t="shared" ca="1" si="22"/>
        <v>50844</v>
      </c>
      <c r="G158" s="156">
        <f t="shared" ca="1" si="23"/>
        <v>140254.52099646674</v>
      </c>
      <c r="H158" s="156">
        <f ca="1">SUM($G$8:G158)*gamma</f>
        <v>409962.29389335797</v>
      </c>
      <c r="I158" s="23">
        <f ca="1">MAX(0,ROUND($I$7-$H$7-H158-SUM($G$8:G158),0))</f>
        <v>0</v>
      </c>
      <c r="J158" s="208">
        <f t="shared" ca="1" si="17"/>
        <v>150</v>
      </c>
    </row>
    <row r="159" spans="1:10" ht="15.75" customHeight="1" thickBot="1">
      <c r="A159" s="237">
        <f t="shared" ca="1" si="18"/>
        <v>50875</v>
      </c>
      <c r="B159" s="238">
        <f t="shared" ca="1" si="19"/>
        <v>140255</v>
      </c>
      <c r="C159" s="238">
        <f t="shared" ca="1" si="20"/>
        <v>0</v>
      </c>
      <c r="D159" s="155">
        <f t="shared" ca="1" si="21"/>
        <v>151</v>
      </c>
      <c r="E159" s="209">
        <f t="shared" ca="1" si="16"/>
        <v>7</v>
      </c>
      <c r="F159" s="10">
        <f t="shared" ca="1" si="22"/>
        <v>50875</v>
      </c>
      <c r="G159" s="156">
        <f t="shared" ca="1" si="23"/>
        <v>140254.52099646674</v>
      </c>
      <c r="H159" s="156">
        <f ca="1">SUM($G$8:G159)*gamma</f>
        <v>414169.92952325195</v>
      </c>
      <c r="I159" s="23">
        <f ca="1">MAX(0,ROUND($I$7-$H$7-H159-SUM($G$8:G159),0))</f>
        <v>0</v>
      </c>
      <c r="J159" s="208">
        <f t="shared" ca="1" si="17"/>
        <v>151</v>
      </c>
    </row>
    <row r="160" spans="1:10" ht="15.75" customHeight="1" thickBot="1">
      <c r="A160" s="237">
        <f t="shared" ca="1" si="18"/>
        <v>50905</v>
      </c>
      <c r="B160" s="238">
        <f t="shared" ca="1" si="19"/>
        <v>140255</v>
      </c>
      <c r="C160" s="238">
        <f t="shared" ca="1" si="20"/>
        <v>0</v>
      </c>
      <c r="D160" s="155">
        <f t="shared" ca="1" si="21"/>
        <v>152</v>
      </c>
      <c r="E160" s="209">
        <f t="shared" ca="1" si="16"/>
        <v>8</v>
      </c>
      <c r="F160" s="10">
        <f t="shared" ca="1" si="22"/>
        <v>50905</v>
      </c>
      <c r="G160" s="156">
        <f t="shared" ca="1" si="23"/>
        <v>140254.52099646674</v>
      </c>
      <c r="H160" s="156">
        <f ca="1">SUM($G$8:G160)*gamma</f>
        <v>418377.56515314593</v>
      </c>
      <c r="I160" s="23">
        <f ca="1">MAX(0,ROUND($I$7-$H$7-H160-SUM($G$8:G160),0))</f>
        <v>0</v>
      </c>
      <c r="J160" s="208">
        <f t="shared" ca="1" si="17"/>
        <v>152</v>
      </c>
    </row>
    <row r="161" spans="1:10" ht="15.75" customHeight="1" thickBot="1">
      <c r="A161" s="237">
        <f t="shared" ca="1" si="18"/>
        <v>50936</v>
      </c>
      <c r="B161" s="238">
        <f t="shared" ca="1" si="19"/>
        <v>140255</v>
      </c>
      <c r="C161" s="238">
        <f t="shared" ca="1" si="20"/>
        <v>0</v>
      </c>
      <c r="D161" s="155">
        <f t="shared" ca="1" si="21"/>
        <v>153</v>
      </c>
      <c r="E161" s="209">
        <f t="shared" ca="1" si="16"/>
        <v>9</v>
      </c>
      <c r="F161" s="10">
        <f t="shared" ca="1" si="22"/>
        <v>50936</v>
      </c>
      <c r="G161" s="156">
        <f t="shared" ca="1" si="23"/>
        <v>140254.52099646674</v>
      </c>
      <c r="H161" s="156">
        <f ca="1">SUM($G$8:G161)*gamma</f>
        <v>422585.20078303991</v>
      </c>
      <c r="I161" s="23">
        <f ca="1">MAX(0,ROUND($I$7-$H$7-H161-SUM($G$8:G161),0))</f>
        <v>0</v>
      </c>
      <c r="J161" s="208">
        <f t="shared" ca="1" si="17"/>
        <v>153</v>
      </c>
    </row>
    <row r="162" spans="1:10" ht="15.75" customHeight="1" thickBot="1">
      <c r="A162" s="237">
        <f t="shared" ca="1" si="18"/>
        <v>50966</v>
      </c>
      <c r="B162" s="238">
        <f t="shared" ca="1" si="19"/>
        <v>140255</v>
      </c>
      <c r="C162" s="238">
        <f t="shared" ca="1" si="20"/>
        <v>0</v>
      </c>
      <c r="D162" s="155">
        <f t="shared" ca="1" si="21"/>
        <v>154</v>
      </c>
      <c r="E162" s="209">
        <f t="shared" ca="1" si="16"/>
        <v>10</v>
      </c>
      <c r="F162" s="10">
        <f t="shared" ca="1" si="22"/>
        <v>50966</v>
      </c>
      <c r="G162" s="156">
        <f t="shared" ca="1" si="23"/>
        <v>140254.52099646674</v>
      </c>
      <c r="H162" s="156">
        <f ca="1">SUM($G$8:G162)*gamma</f>
        <v>426792.83641293389</v>
      </c>
      <c r="I162" s="23">
        <f ca="1">MAX(0,ROUND($I$7-$H$7-H162-SUM($G$8:G162),0))</f>
        <v>0</v>
      </c>
      <c r="J162" s="208">
        <f t="shared" ca="1" si="17"/>
        <v>154</v>
      </c>
    </row>
    <row r="163" spans="1:10" ht="15.75" customHeight="1" thickBot="1">
      <c r="A163" s="237">
        <f t="shared" ca="1" si="18"/>
        <v>50997</v>
      </c>
      <c r="B163" s="238">
        <f t="shared" ca="1" si="19"/>
        <v>140255</v>
      </c>
      <c r="C163" s="238">
        <f t="shared" ca="1" si="20"/>
        <v>0</v>
      </c>
      <c r="D163" s="155">
        <f t="shared" ca="1" si="21"/>
        <v>155</v>
      </c>
      <c r="E163" s="209">
        <f t="shared" ca="1" si="16"/>
        <v>11</v>
      </c>
      <c r="F163" s="10">
        <f t="shared" ca="1" si="22"/>
        <v>50997</v>
      </c>
      <c r="G163" s="156">
        <f t="shared" ca="1" si="23"/>
        <v>140254.52099646674</v>
      </c>
      <c r="H163" s="156">
        <f ca="1">SUM($G$8:G163)*gamma</f>
        <v>431000.47204282787</v>
      </c>
      <c r="I163" s="23">
        <f ca="1">MAX(0,ROUND($I$7-$H$7-H163-SUM($G$8:G163),0))</f>
        <v>0</v>
      </c>
      <c r="J163" s="208">
        <f t="shared" ca="1" si="17"/>
        <v>155</v>
      </c>
    </row>
    <row r="164" spans="1:10" ht="15.75" customHeight="1" thickBot="1">
      <c r="A164" s="237">
        <f t="shared" ca="1" si="18"/>
        <v>51028</v>
      </c>
      <c r="B164" s="238">
        <f t="shared" ca="1" si="19"/>
        <v>151475</v>
      </c>
      <c r="C164" s="238">
        <f t="shared" ca="1" si="20"/>
        <v>0</v>
      </c>
      <c r="D164" s="155">
        <f t="shared" ca="1" si="21"/>
        <v>156</v>
      </c>
      <c r="E164" s="209">
        <f t="shared" ca="1" si="16"/>
        <v>0</v>
      </c>
      <c r="F164" s="10">
        <f t="shared" ca="1" si="22"/>
        <v>51028</v>
      </c>
      <c r="G164" s="156">
        <f t="shared" ca="1" si="23"/>
        <v>151474.88267618409</v>
      </c>
      <c r="H164" s="156">
        <f ca="1">SUM($G$8:G164)*gamma</f>
        <v>435544.71852311341</v>
      </c>
      <c r="I164" s="23">
        <f ca="1">MAX(0,ROUND($I$7-$H$7-H164-SUM($G$8:G164),0))</f>
        <v>0</v>
      </c>
      <c r="J164" s="208">
        <f t="shared" ca="1" si="17"/>
        <v>156</v>
      </c>
    </row>
    <row r="165" spans="1:10" ht="15.75" customHeight="1" thickBot="1">
      <c r="A165" s="237">
        <f t="shared" ca="1" si="18"/>
        <v>51058</v>
      </c>
      <c r="B165" s="238">
        <f t="shared" ca="1" si="19"/>
        <v>151475</v>
      </c>
      <c r="C165" s="238">
        <f t="shared" ca="1" si="20"/>
        <v>0</v>
      </c>
      <c r="D165" s="155">
        <f t="shared" ca="1" si="21"/>
        <v>157</v>
      </c>
      <c r="E165" s="209">
        <f t="shared" ca="1" si="16"/>
        <v>1</v>
      </c>
      <c r="F165" s="10">
        <f t="shared" ca="1" si="22"/>
        <v>51058</v>
      </c>
      <c r="G165" s="156">
        <f t="shared" ca="1" si="23"/>
        <v>151474.88267618409</v>
      </c>
      <c r="H165" s="156">
        <f ca="1">SUM($G$8:G165)*gamma</f>
        <v>440088.96500339895</v>
      </c>
      <c r="I165" s="23">
        <f ca="1">MAX(0,ROUND($I$7-$H$7-H165-SUM($G$8:G165),0))</f>
        <v>0</v>
      </c>
      <c r="J165" s="208">
        <f t="shared" ca="1" si="17"/>
        <v>157</v>
      </c>
    </row>
    <row r="166" spans="1:10" ht="15.75" customHeight="1" thickBot="1">
      <c r="A166" s="237">
        <f t="shared" ca="1" si="18"/>
        <v>51089</v>
      </c>
      <c r="B166" s="238">
        <f t="shared" ca="1" si="19"/>
        <v>151475</v>
      </c>
      <c r="C166" s="238">
        <f t="shared" ca="1" si="20"/>
        <v>0</v>
      </c>
      <c r="D166" s="155">
        <f t="shared" ca="1" si="21"/>
        <v>158</v>
      </c>
      <c r="E166" s="209">
        <f t="shared" ca="1" si="16"/>
        <v>2</v>
      </c>
      <c r="F166" s="10">
        <f t="shared" ca="1" si="22"/>
        <v>51089</v>
      </c>
      <c r="G166" s="156">
        <f t="shared" ca="1" si="23"/>
        <v>151474.88267618409</v>
      </c>
      <c r="H166" s="156">
        <f ca="1">SUM($G$8:G166)*gamma</f>
        <v>444633.21148368448</v>
      </c>
      <c r="I166" s="23">
        <f ca="1">MAX(0,ROUND($I$7-$H$7-H166-SUM($G$8:G166),0))</f>
        <v>0</v>
      </c>
      <c r="J166" s="208">
        <f t="shared" ca="1" si="17"/>
        <v>158</v>
      </c>
    </row>
    <row r="167" spans="1:10" ht="15.75" customHeight="1" thickBot="1">
      <c r="A167" s="237">
        <f t="shared" ca="1" si="18"/>
        <v>51119</v>
      </c>
      <c r="B167" s="238">
        <f t="shared" ca="1" si="19"/>
        <v>151475</v>
      </c>
      <c r="C167" s="238">
        <f t="shared" ca="1" si="20"/>
        <v>0</v>
      </c>
      <c r="D167" s="155">
        <f t="shared" ca="1" si="21"/>
        <v>159</v>
      </c>
      <c r="E167" s="209">
        <f t="shared" ca="1" si="16"/>
        <v>3</v>
      </c>
      <c r="F167" s="10">
        <f t="shared" ca="1" si="22"/>
        <v>51119</v>
      </c>
      <c r="G167" s="156">
        <f t="shared" ca="1" si="23"/>
        <v>151474.88267618409</v>
      </c>
      <c r="H167" s="156">
        <f ca="1">SUM($G$8:G167)*gamma</f>
        <v>449177.45796396997</v>
      </c>
      <c r="I167" s="23">
        <f ca="1">MAX(0,ROUND($I$7-$H$7-H167-SUM($G$8:G167),0))</f>
        <v>0</v>
      </c>
      <c r="J167" s="208">
        <f t="shared" ca="1" si="17"/>
        <v>159</v>
      </c>
    </row>
    <row r="168" spans="1:10" ht="15.75" customHeight="1" thickBot="1">
      <c r="A168" s="237">
        <f t="shared" ca="1" si="18"/>
        <v>51150</v>
      </c>
      <c r="B168" s="238">
        <f t="shared" ca="1" si="19"/>
        <v>151475</v>
      </c>
      <c r="C168" s="238">
        <f t="shared" ca="1" si="20"/>
        <v>0</v>
      </c>
      <c r="D168" s="155">
        <f t="shared" ca="1" si="21"/>
        <v>160</v>
      </c>
      <c r="E168" s="209">
        <f t="shared" ca="1" si="16"/>
        <v>4</v>
      </c>
      <c r="F168" s="10">
        <f t="shared" ca="1" si="22"/>
        <v>51150</v>
      </c>
      <c r="G168" s="156">
        <f t="shared" ca="1" si="23"/>
        <v>151474.88267618409</v>
      </c>
      <c r="H168" s="156">
        <f ca="1">SUM($G$8:G168)*gamma</f>
        <v>453721.70444425551</v>
      </c>
      <c r="I168" s="23">
        <f ca="1">MAX(0,ROUND($I$7-$H$7-H168-SUM($G$8:G168),0))</f>
        <v>0</v>
      </c>
      <c r="J168" s="208">
        <f t="shared" ca="1" si="17"/>
        <v>160</v>
      </c>
    </row>
    <row r="169" spans="1:10" ht="15.75" customHeight="1" thickBot="1">
      <c r="A169" s="237">
        <f t="shared" ca="1" si="18"/>
        <v>51181</v>
      </c>
      <c r="B169" s="238">
        <f t="shared" ca="1" si="19"/>
        <v>151475</v>
      </c>
      <c r="C169" s="238">
        <f t="shared" ca="1" si="20"/>
        <v>0</v>
      </c>
      <c r="D169" s="155">
        <f t="shared" ca="1" si="21"/>
        <v>161</v>
      </c>
      <c r="E169" s="209">
        <f t="shared" ca="1" si="16"/>
        <v>5</v>
      </c>
      <c r="F169" s="10">
        <f t="shared" ca="1" si="22"/>
        <v>51181</v>
      </c>
      <c r="G169" s="156">
        <f t="shared" ca="1" si="23"/>
        <v>151474.88267618409</v>
      </c>
      <c r="H169" s="156">
        <f ca="1">SUM($G$8:G169)*gamma</f>
        <v>458265.95092454104</v>
      </c>
      <c r="I169" s="23">
        <f ca="1">MAX(0,ROUND($I$7-$H$7-H169-SUM($G$8:G169),0))</f>
        <v>0</v>
      </c>
      <c r="J169" s="208">
        <f t="shared" ca="1" si="17"/>
        <v>161</v>
      </c>
    </row>
    <row r="170" spans="1:10" ht="15.75" customHeight="1" thickBot="1">
      <c r="A170" s="237">
        <f t="shared" ca="1" si="18"/>
        <v>51210</v>
      </c>
      <c r="B170" s="238">
        <f t="shared" ca="1" si="19"/>
        <v>151475</v>
      </c>
      <c r="C170" s="238">
        <f t="shared" ca="1" si="20"/>
        <v>0</v>
      </c>
      <c r="D170" s="155">
        <f t="shared" ca="1" si="21"/>
        <v>162</v>
      </c>
      <c r="E170" s="209">
        <f t="shared" ca="1" si="16"/>
        <v>6</v>
      </c>
      <c r="F170" s="10">
        <f t="shared" ca="1" si="22"/>
        <v>51210</v>
      </c>
      <c r="G170" s="156">
        <f t="shared" ca="1" si="23"/>
        <v>151474.88267618409</v>
      </c>
      <c r="H170" s="156">
        <f ca="1">SUM($G$8:G170)*gamma</f>
        <v>462810.19740482658</v>
      </c>
      <c r="I170" s="23">
        <f ca="1">MAX(0,ROUND($I$7-$H$7-H170-SUM($G$8:G170),0))</f>
        <v>0</v>
      </c>
      <c r="J170" s="208">
        <f t="shared" ca="1" si="17"/>
        <v>162</v>
      </c>
    </row>
    <row r="171" spans="1:10" ht="15.75" customHeight="1" thickBot="1">
      <c r="A171" s="237">
        <f t="shared" ca="1" si="18"/>
        <v>51241</v>
      </c>
      <c r="B171" s="238">
        <f t="shared" ca="1" si="19"/>
        <v>151475</v>
      </c>
      <c r="C171" s="238">
        <f t="shared" ca="1" si="20"/>
        <v>0</v>
      </c>
      <c r="D171" s="155">
        <f t="shared" ca="1" si="21"/>
        <v>163</v>
      </c>
      <c r="E171" s="209">
        <f t="shared" ca="1" si="16"/>
        <v>7</v>
      </c>
      <c r="F171" s="10">
        <f t="shared" ca="1" si="22"/>
        <v>51241</v>
      </c>
      <c r="G171" s="156">
        <f t="shared" ca="1" si="23"/>
        <v>151474.88267618409</v>
      </c>
      <c r="H171" s="156">
        <f ca="1">SUM($G$8:G171)*gamma</f>
        <v>467354.44388511206</v>
      </c>
      <c r="I171" s="23">
        <f ca="1">MAX(0,ROUND($I$7-$H$7-H171-SUM($G$8:G171),0))</f>
        <v>0</v>
      </c>
      <c r="J171" s="208">
        <f t="shared" ca="1" si="17"/>
        <v>163</v>
      </c>
    </row>
    <row r="172" spans="1:10" ht="15.75" customHeight="1" thickBot="1">
      <c r="A172" s="237">
        <f t="shared" ca="1" si="18"/>
        <v>51271</v>
      </c>
      <c r="B172" s="238">
        <f t="shared" ca="1" si="19"/>
        <v>151475</v>
      </c>
      <c r="C172" s="238">
        <f t="shared" ca="1" si="20"/>
        <v>0</v>
      </c>
      <c r="D172" s="155">
        <f t="shared" ca="1" si="21"/>
        <v>164</v>
      </c>
      <c r="E172" s="209">
        <f t="shared" ca="1" si="16"/>
        <v>8</v>
      </c>
      <c r="F172" s="10">
        <f t="shared" ca="1" si="22"/>
        <v>51271</v>
      </c>
      <c r="G172" s="156">
        <f t="shared" ca="1" si="23"/>
        <v>151474.88267618409</v>
      </c>
      <c r="H172" s="156">
        <f ca="1">SUM($G$8:G172)*gamma</f>
        <v>471898.6903653976</v>
      </c>
      <c r="I172" s="23">
        <f ca="1">MAX(0,ROUND($I$7-$H$7-H172-SUM($G$8:G172),0))</f>
        <v>0</v>
      </c>
      <c r="J172" s="208">
        <f t="shared" ca="1" si="17"/>
        <v>164</v>
      </c>
    </row>
    <row r="173" spans="1:10" ht="15.75" customHeight="1" thickBot="1">
      <c r="A173" s="237">
        <f t="shared" ca="1" si="18"/>
        <v>51302</v>
      </c>
      <c r="B173" s="238">
        <f t="shared" ca="1" si="19"/>
        <v>151475</v>
      </c>
      <c r="C173" s="238">
        <f t="shared" ca="1" si="20"/>
        <v>0</v>
      </c>
      <c r="D173" s="155">
        <f t="shared" ca="1" si="21"/>
        <v>165</v>
      </c>
      <c r="E173" s="209">
        <f t="shared" ca="1" si="16"/>
        <v>9</v>
      </c>
      <c r="F173" s="10">
        <f t="shared" ca="1" si="22"/>
        <v>51302</v>
      </c>
      <c r="G173" s="156">
        <f t="shared" ca="1" si="23"/>
        <v>151474.88267618409</v>
      </c>
      <c r="H173" s="156">
        <f ca="1">SUM($G$8:G173)*gamma</f>
        <v>476442.93684568314</v>
      </c>
      <c r="I173" s="23">
        <f ca="1">MAX(0,ROUND($I$7-$H$7-H173-SUM($G$8:G173),0))</f>
        <v>0</v>
      </c>
      <c r="J173" s="208">
        <f t="shared" ca="1" si="17"/>
        <v>165</v>
      </c>
    </row>
    <row r="174" spans="1:10" ht="15.75" customHeight="1" thickBot="1">
      <c r="A174" s="237">
        <f t="shared" ca="1" si="18"/>
        <v>51332</v>
      </c>
      <c r="B174" s="238">
        <f t="shared" ca="1" si="19"/>
        <v>151475</v>
      </c>
      <c r="C174" s="238">
        <f t="shared" ca="1" si="20"/>
        <v>0</v>
      </c>
      <c r="D174" s="155">
        <f t="shared" ca="1" si="21"/>
        <v>166</v>
      </c>
      <c r="E174" s="209">
        <f t="shared" ca="1" si="16"/>
        <v>10</v>
      </c>
      <c r="F174" s="10">
        <f t="shared" ca="1" si="22"/>
        <v>51332</v>
      </c>
      <c r="G174" s="156">
        <f t="shared" ca="1" si="23"/>
        <v>151474.88267618409</v>
      </c>
      <c r="H174" s="156">
        <f ca="1">SUM($G$8:G174)*gamma</f>
        <v>480987.18332596868</v>
      </c>
      <c r="I174" s="23">
        <f ca="1">MAX(0,ROUND($I$7-$H$7-H174-SUM($G$8:G174),0))</f>
        <v>0</v>
      </c>
      <c r="J174" s="208">
        <f t="shared" ca="1" si="17"/>
        <v>166</v>
      </c>
    </row>
    <row r="175" spans="1:10" ht="15.75" customHeight="1" thickBot="1">
      <c r="A175" s="237">
        <f t="shared" ca="1" si="18"/>
        <v>51363</v>
      </c>
      <c r="B175" s="238">
        <f t="shared" ca="1" si="19"/>
        <v>151475</v>
      </c>
      <c r="C175" s="238">
        <f t="shared" ca="1" si="20"/>
        <v>0</v>
      </c>
      <c r="D175" s="155">
        <f t="shared" ca="1" si="21"/>
        <v>167</v>
      </c>
      <c r="E175" s="209">
        <f t="shared" ca="1" si="16"/>
        <v>11</v>
      </c>
      <c r="F175" s="10">
        <f t="shared" ca="1" si="22"/>
        <v>51363</v>
      </c>
      <c r="G175" s="156">
        <f t="shared" ca="1" si="23"/>
        <v>151474.88267618409</v>
      </c>
      <c r="H175" s="156">
        <f ca="1">SUM($G$8:G175)*gamma</f>
        <v>485531.42980625416</v>
      </c>
      <c r="I175" s="23">
        <f ca="1">MAX(0,ROUND($I$7-$H$7-H175-SUM($G$8:G175),0))</f>
        <v>0</v>
      </c>
      <c r="J175" s="208">
        <f t="shared" ca="1" si="17"/>
        <v>167</v>
      </c>
    </row>
    <row r="176" spans="1:10" ht="15.75" customHeight="1" thickBot="1">
      <c r="A176" s="237">
        <f t="shared" ca="1" si="18"/>
        <v>51394</v>
      </c>
      <c r="B176" s="238">
        <f t="shared" ca="1" si="19"/>
        <v>163593</v>
      </c>
      <c r="C176" s="238">
        <f t="shared" ca="1" si="20"/>
        <v>0</v>
      </c>
      <c r="D176" s="155">
        <f t="shared" ca="1" si="21"/>
        <v>168</v>
      </c>
      <c r="E176" s="209">
        <f t="shared" ca="1" si="16"/>
        <v>0</v>
      </c>
      <c r="F176" s="10">
        <f t="shared" ca="1" si="22"/>
        <v>51394</v>
      </c>
      <c r="G176" s="156">
        <f t="shared" ca="1" si="23"/>
        <v>163592.87329027883</v>
      </c>
      <c r="H176" s="156">
        <f ca="1">SUM($G$8:G176)*gamma</f>
        <v>490439.21600496251</v>
      </c>
      <c r="I176" s="23">
        <f ca="1">MAX(0,ROUND($I$7-$H$7-H176-SUM($G$8:G176),0))</f>
        <v>0</v>
      </c>
      <c r="J176" s="208">
        <f t="shared" ca="1" si="17"/>
        <v>168</v>
      </c>
    </row>
    <row r="177" spans="1:10" ht="15.75" customHeight="1" thickBot="1">
      <c r="A177" s="237">
        <f t="shared" ca="1" si="18"/>
        <v>51424</v>
      </c>
      <c r="B177" s="238">
        <f t="shared" ca="1" si="19"/>
        <v>163593</v>
      </c>
      <c r="C177" s="238">
        <f t="shared" ca="1" si="20"/>
        <v>0</v>
      </c>
      <c r="D177" s="155">
        <f t="shared" ca="1" si="21"/>
        <v>169</v>
      </c>
      <c r="E177" s="209">
        <f t="shared" ca="1" si="16"/>
        <v>1</v>
      </c>
      <c r="F177" s="10">
        <f t="shared" ca="1" si="22"/>
        <v>51424</v>
      </c>
      <c r="G177" s="156">
        <f t="shared" ca="1" si="23"/>
        <v>163592.87329027883</v>
      </c>
      <c r="H177" s="156">
        <f ca="1">SUM($G$8:G177)*gamma</f>
        <v>495347.00220367085</v>
      </c>
      <c r="I177" s="23">
        <f ca="1">MAX(0,ROUND($I$7-$H$7-H177-SUM($G$8:G177),0))</f>
        <v>0</v>
      </c>
      <c r="J177" s="208">
        <f t="shared" ca="1" si="17"/>
        <v>169</v>
      </c>
    </row>
    <row r="178" spans="1:10" ht="15.75" customHeight="1" thickBot="1">
      <c r="A178" s="237">
        <f t="shared" ca="1" si="18"/>
        <v>51455</v>
      </c>
      <c r="B178" s="238">
        <f t="shared" ca="1" si="19"/>
        <v>163593</v>
      </c>
      <c r="C178" s="238">
        <f t="shared" ca="1" si="20"/>
        <v>0</v>
      </c>
      <c r="D178" s="155">
        <f t="shared" ca="1" si="21"/>
        <v>170</v>
      </c>
      <c r="E178" s="209">
        <f t="shared" ca="1" si="16"/>
        <v>2</v>
      </c>
      <c r="F178" s="10">
        <f t="shared" ca="1" si="22"/>
        <v>51455</v>
      </c>
      <c r="G178" s="156">
        <f t="shared" ca="1" si="23"/>
        <v>163592.87329027883</v>
      </c>
      <c r="H178" s="156">
        <f ca="1">SUM($G$8:G178)*gamma</f>
        <v>500254.7884023792</v>
      </c>
      <c r="I178" s="23">
        <f ca="1">MAX(0,ROUND($I$7-$H$7-H178-SUM($G$8:G178),0))</f>
        <v>0</v>
      </c>
      <c r="J178" s="208">
        <f t="shared" ca="1" si="17"/>
        <v>170</v>
      </c>
    </row>
    <row r="179" spans="1:10" ht="15.75" customHeight="1" thickBot="1">
      <c r="A179" s="237">
        <f t="shared" ca="1" si="18"/>
        <v>51485</v>
      </c>
      <c r="B179" s="238">
        <f t="shared" ca="1" si="19"/>
        <v>163593</v>
      </c>
      <c r="C179" s="238">
        <f t="shared" ca="1" si="20"/>
        <v>0</v>
      </c>
      <c r="D179" s="155">
        <f t="shared" ca="1" si="21"/>
        <v>171</v>
      </c>
      <c r="E179" s="209">
        <f t="shared" ca="1" si="16"/>
        <v>3</v>
      </c>
      <c r="F179" s="10">
        <f t="shared" ca="1" si="22"/>
        <v>51485</v>
      </c>
      <c r="G179" s="156">
        <f t="shared" ca="1" si="23"/>
        <v>163592.87329027883</v>
      </c>
      <c r="H179" s="156">
        <f ca="1">SUM($G$8:G179)*gamma</f>
        <v>505162.57460108754</v>
      </c>
      <c r="I179" s="23">
        <f ca="1">MAX(0,ROUND($I$7-$H$7-H179-SUM($G$8:G179),0))</f>
        <v>0</v>
      </c>
      <c r="J179" s="208">
        <f t="shared" ca="1" si="17"/>
        <v>171</v>
      </c>
    </row>
    <row r="180" spans="1:10" ht="15.75" customHeight="1" thickBot="1">
      <c r="A180" s="237">
        <f t="shared" ca="1" si="18"/>
        <v>51516</v>
      </c>
      <c r="B180" s="238">
        <f t="shared" ca="1" si="19"/>
        <v>163593</v>
      </c>
      <c r="C180" s="238">
        <f t="shared" ca="1" si="20"/>
        <v>0</v>
      </c>
      <c r="D180" s="155">
        <f t="shared" ca="1" si="21"/>
        <v>172</v>
      </c>
      <c r="E180" s="209">
        <f t="shared" ca="1" si="16"/>
        <v>4</v>
      </c>
      <c r="F180" s="10">
        <f t="shared" ca="1" si="22"/>
        <v>51516</v>
      </c>
      <c r="G180" s="156">
        <f t="shared" ca="1" si="23"/>
        <v>163592.87329027883</v>
      </c>
      <c r="H180" s="156">
        <f ca="1">SUM($G$8:G180)*gamma</f>
        <v>510070.36079979589</v>
      </c>
      <c r="I180" s="23">
        <f ca="1">MAX(0,ROUND($I$7-$H$7-H180-SUM($G$8:G180),0))</f>
        <v>0</v>
      </c>
      <c r="J180" s="208">
        <f t="shared" ca="1" si="17"/>
        <v>172</v>
      </c>
    </row>
    <row r="181" spans="1:10" ht="15.75" customHeight="1" thickBot="1">
      <c r="A181" s="237">
        <f t="shared" ca="1" si="18"/>
        <v>51547</v>
      </c>
      <c r="B181" s="238">
        <f t="shared" ca="1" si="19"/>
        <v>163593</v>
      </c>
      <c r="C181" s="238">
        <f t="shared" ca="1" si="20"/>
        <v>0</v>
      </c>
      <c r="D181" s="155">
        <f t="shared" ca="1" si="21"/>
        <v>173</v>
      </c>
      <c r="E181" s="209">
        <f t="shared" ca="1" si="16"/>
        <v>5</v>
      </c>
      <c r="F181" s="10">
        <f t="shared" ca="1" si="22"/>
        <v>51547</v>
      </c>
      <c r="G181" s="156">
        <f t="shared" ca="1" si="23"/>
        <v>163592.87329027883</v>
      </c>
      <c r="H181" s="156">
        <f ca="1">SUM($G$8:G181)*gamma</f>
        <v>514978.14699850423</v>
      </c>
      <c r="I181" s="23">
        <f ca="1">MAX(0,ROUND($I$7-$H$7-H181-SUM($G$8:G181),0))</f>
        <v>0</v>
      </c>
      <c r="J181" s="208">
        <f t="shared" ca="1" si="17"/>
        <v>173</v>
      </c>
    </row>
    <row r="182" spans="1:10" ht="15.75" customHeight="1" thickBot="1">
      <c r="A182" s="237">
        <f t="shared" ca="1" si="18"/>
        <v>51575</v>
      </c>
      <c r="B182" s="238">
        <f t="shared" ca="1" si="19"/>
        <v>163593</v>
      </c>
      <c r="C182" s="238">
        <f t="shared" ca="1" si="20"/>
        <v>0</v>
      </c>
      <c r="D182" s="155">
        <f t="shared" ca="1" si="21"/>
        <v>174</v>
      </c>
      <c r="E182" s="209">
        <f t="shared" ca="1" si="16"/>
        <v>6</v>
      </c>
      <c r="F182" s="10">
        <f t="shared" ca="1" si="22"/>
        <v>51575</v>
      </c>
      <c r="G182" s="156">
        <f t="shared" ca="1" si="23"/>
        <v>163592.87329027883</v>
      </c>
      <c r="H182" s="156">
        <f ca="1">SUM($G$8:G182)*gamma</f>
        <v>519885.93319721258</v>
      </c>
      <c r="I182" s="23">
        <f ca="1">MAX(0,ROUND($I$7-$H$7-H182-SUM($G$8:G182),0))</f>
        <v>0</v>
      </c>
      <c r="J182" s="208">
        <f t="shared" ca="1" si="17"/>
        <v>174</v>
      </c>
    </row>
    <row r="183" spans="1:10" ht="15.75" customHeight="1" thickBot="1">
      <c r="A183" s="237">
        <f t="shared" ca="1" si="18"/>
        <v>51606</v>
      </c>
      <c r="B183" s="238">
        <f t="shared" ca="1" si="19"/>
        <v>163593</v>
      </c>
      <c r="C183" s="238">
        <f t="shared" ca="1" si="20"/>
        <v>0</v>
      </c>
      <c r="D183" s="155">
        <f t="shared" ca="1" si="21"/>
        <v>175</v>
      </c>
      <c r="E183" s="209">
        <f t="shared" ca="1" si="16"/>
        <v>7</v>
      </c>
      <c r="F183" s="10">
        <f t="shared" ca="1" si="22"/>
        <v>51606</v>
      </c>
      <c r="G183" s="156">
        <f t="shared" ca="1" si="23"/>
        <v>163592.87329027883</v>
      </c>
      <c r="H183" s="156">
        <f ca="1">SUM($G$8:G183)*gamma</f>
        <v>524793.71939592087</v>
      </c>
      <c r="I183" s="23">
        <f ca="1">MAX(0,ROUND($I$7-$H$7-H183-SUM($G$8:G183),0))</f>
        <v>0</v>
      </c>
      <c r="J183" s="208">
        <f t="shared" ca="1" si="17"/>
        <v>175</v>
      </c>
    </row>
    <row r="184" spans="1:10" ht="15.75" customHeight="1" thickBot="1">
      <c r="A184" s="237">
        <f t="shared" ca="1" si="18"/>
        <v>51636</v>
      </c>
      <c r="B184" s="238">
        <f t="shared" ca="1" si="19"/>
        <v>163593</v>
      </c>
      <c r="C184" s="238">
        <f t="shared" ca="1" si="20"/>
        <v>0</v>
      </c>
      <c r="D184" s="155">
        <f t="shared" ca="1" si="21"/>
        <v>176</v>
      </c>
      <c r="E184" s="209">
        <f t="shared" ca="1" si="16"/>
        <v>8</v>
      </c>
      <c r="F184" s="10">
        <f t="shared" ca="1" si="22"/>
        <v>51636</v>
      </c>
      <c r="G184" s="156">
        <f t="shared" ca="1" si="23"/>
        <v>163592.87329027883</v>
      </c>
      <c r="H184" s="156">
        <f ca="1">SUM($G$8:G184)*gamma</f>
        <v>529701.50559462921</v>
      </c>
      <c r="I184" s="23">
        <f ca="1">MAX(0,ROUND($I$7-$H$7-H184-SUM($G$8:G184),0))</f>
        <v>0</v>
      </c>
      <c r="J184" s="208">
        <f t="shared" ca="1" si="17"/>
        <v>176</v>
      </c>
    </row>
    <row r="185" spans="1:10" ht="15.75" customHeight="1" thickBot="1">
      <c r="A185" s="237">
        <f t="shared" ca="1" si="18"/>
        <v>51667</v>
      </c>
      <c r="B185" s="238">
        <f t="shared" ca="1" si="19"/>
        <v>163593</v>
      </c>
      <c r="C185" s="238">
        <f t="shared" ca="1" si="20"/>
        <v>0</v>
      </c>
      <c r="D185" s="155">
        <f t="shared" ca="1" si="21"/>
        <v>177</v>
      </c>
      <c r="E185" s="209">
        <f t="shared" ca="1" si="16"/>
        <v>9</v>
      </c>
      <c r="F185" s="10">
        <f t="shared" ca="1" si="22"/>
        <v>51667</v>
      </c>
      <c r="G185" s="156">
        <f t="shared" ca="1" si="23"/>
        <v>163592.87329027883</v>
      </c>
      <c r="H185" s="156">
        <f ca="1">SUM($G$8:G185)*gamma</f>
        <v>534609.29179333756</v>
      </c>
      <c r="I185" s="23">
        <f ca="1">MAX(0,ROUND($I$7-$H$7-H185-SUM($G$8:G185),0))</f>
        <v>0</v>
      </c>
      <c r="J185" s="208">
        <f t="shared" ca="1" si="17"/>
        <v>177</v>
      </c>
    </row>
    <row r="186" spans="1:10" ht="15.75" customHeight="1" thickBot="1">
      <c r="A186" s="237">
        <f t="shared" ca="1" si="18"/>
        <v>51697</v>
      </c>
      <c r="B186" s="238">
        <f t="shared" ca="1" si="19"/>
        <v>163593</v>
      </c>
      <c r="C186" s="238">
        <f t="shared" ca="1" si="20"/>
        <v>0</v>
      </c>
      <c r="D186" s="155">
        <f t="shared" ca="1" si="21"/>
        <v>178</v>
      </c>
      <c r="E186" s="209">
        <f t="shared" ca="1" si="16"/>
        <v>10</v>
      </c>
      <c r="F186" s="10">
        <f t="shared" ca="1" si="22"/>
        <v>51697</v>
      </c>
      <c r="G186" s="156">
        <f t="shared" ca="1" si="23"/>
        <v>163592.87329027883</v>
      </c>
      <c r="H186" s="156">
        <f ca="1">SUM($G$8:G186)*gamma</f>
        <v>539517.0779920459</v>
      </c>
      <c r="I186" s="23">
        <f ca="1">MAX(0,ROUND($I$7-$H$7-H186-SUM($G$8:G186),0))</f>
        <v>0</v>
      </c>
      <c r="J186" s="208">
        <f t="shared" ca="1" si="17"/>
        <v>178</v>
      </c>
    </row>
    <row r="187" spans="1:10" ht="15.75" customHeight="1" thickBot="1">
      <c r="A187" s="237">
        <f t="shared" ca="1" si="18"/>
        <v>51728</v>
      </c>
      <c r="B187" s="238">
        <f t="shared" ca="1" si="19"/>
        <v>163593</v>
      </c>
      <c r="C187" s="238">
        <f t="shared" ca="1" si="20"/>
        <v>0</v>
      </c>
      <c r="D187" s="155">
        <f t="shared" ca="1" si="21"/>
        <v>179</v>
      </c>
      <c r="E187" s="209">
        <f t="shared" ca="1" si="16"/>
        <v>11</v>
      </c>
      <c r="F187" s="10">
        <f t="shared" ca="1" si="22"/>
        <v>51728</v>
      </c>
      <c r="G187" s="156">
        <f t="shared" ca="1" si="23"/>
        <v>163592.87329027883</v>
      </c>
      <c r="H187" s="156">
        <f ca="1">SUM($G$8:G187)*gamma</f>
        <v>544424.86419075425</v>
      </c>
      <c r="I187" s="23">
        <f ca="1">MAX(0,ROUND($I$7-$H$7-H187-SUM($G$8:G187),0))</f>
        <v>0</v>
      </c>
      <c r="J187" s="208">
        <f t="shared" ca="1" si="17"/>
        <v>179</v>
      </c>
    </row>
    <row r="188" spans="1:10" ht="15.75" customHeight="1" thickBot="1">
      <c r="A188" s="237">
        <f t="shared" ca="1" si="18"/>
        <v>51759</v>
      </c>
      <c r="B188" s="238">
        <f t="shared" ca="1" si="19"/>
        <v>176680</v>
      </c>
      <c r="C188" s="238">
        <f t="shared" ca="1" si="20"/>
        <v>0</v>
      </c>
      <c r="D188" s="155">
        <f t="shared" ca="1" si="21"/>
        <v>180</v>
      </c>
      <c r="E188" s="209">
        <f t="shared" ca="1" si="16"/>
        <v>0</v>
      </c>
      <c r="F188" s="10">
        <f t="shared" ca="1" si="22"/>
        <v>51759</v>
      </c>
      <c r="G188" s="156">
        <f t="shared" ca="1" si="23"/>
        <v>176680.30315350115</v>
      </c>
      <c r="H188" s="156">
        <f ca="1">SUM($G$8:G188)*gamma</f>
        <v>549725.27328535926</v>
      </c>
      <c r="I188" s="23">
        <f ca="1">MAX(0,ROUND($I$7-$H$7-H188-SUM($G$8:G188),0))</f>
        <v>0</v>
      </c>
      <c r="J188" s="208">
        <f t="shared" ca="1" si="17"/>
        <v>180</v>
      </c>
    </row>
    <row r="189" spans="1:10" ht="15.75" customHeight="1" thickBot="1">
      <c r="A189" s="237">
        <f t="shared" ca="1" si="18"/>
        <v>51789</v>
      </c>
      <c r="B189" s="238">
        <f t="shared" ca="1" si="19"/>
        <v>176680</v>
      </c>
      <c r="C189" s="238">
        <f t="shared" ca="1" si="20"/>
        <v>0</v>
      </c>
      <c r="D189" s="155">
        <f t="shared" ca="1" si="21"/>
        <v>181</v>
      </c>
      <c r="E189" s="209">
        <f t="shared" ca="1" si="16"/>
        <v>1</v>
      </c>
      <c r="F189" s="10">
        <f t="shared" ca="1" si="22"/>
        <v>51789</v>
      </c>
      <c r="G189" s="156">
        <f t="shared" ca="1" si="23"/>
        <v>176680.30315350115</v>
      </c>
      <c r="H189" s="156">
        <f ca="1">SUM($G$8:G189)*gamma</f>
        <v>555025.68237996427</v>
      </c>
      <c r="I189" s="23">
        <f ca="1">MAX(0,ROUND($I$7-$H$7-H189-SUM($G$8:G189),0))</f>
        <v>0</v>
      </c>
      <c r="J189" s="208">
        <f t="shared" ca="1" si="17"/>
        <v>181</v>
      </c>
    </row>
    <row r="190" spans="1:10" ht="15.75" customHeight="1" thickBot="1">
      <c r="A190" s="237">
        <f t="shared" ca="1" si="18"/>
        <v>51820</v>
      </c>
      <c r="B190" s="238">
        <f t="shared" ca="1" si="19"/>
        <v>176680</v>
      </c>
      <c r="C190" s="238">
        <f t="shared" ca="1" si="20"/>
        <v>0</v>
      </c>
      <c r="D190" s="155">
        <f t="shared" ca="1" si="21"/>
        <v>182</v>
      </c>
      <c r="E190" s="209">
        <f t="shared" ca="1" si="16"/>
        <v>2</v>
      </c>
      <c r="F190" s="10">
        <f t="shared" ca="1" si="22"/>
        <v>51820</v>
      </c>
      <c r="G190" s="156">
        <f t="shared" ca="1" si="23"/>
        <v>176680.30315350115</v>
      </c>
      <c r="H190" s="156">
        <f ca="1">SUM($G$8:G190)*gamma</f>
        <v>560326.09147456929</v>
      </c>
      <c r="I190" s="23">
        <f ca="1">MAX(0,ROUND($I$7-$H$7-H190-SUM($G$8:G190),0))</f>
        <v>0</v>
      </c>
      <c r="J190" s="208">
        <f t="shared" ca="1" si="17"/>
        <v>182</v>
      </c>
    </row>
    <row r="191" spans="1:10" ht="15.75" customHeight="1" thickBot="1">
      <c r="A191" s="237">
        <f t="shared" ca="1" si="18"/>
        <v>51850</v>
      </c>
      <c r="B191" s="238">
        <f t="shared" ca="1" si="19"/>
        <v>176680</v>
      </c>
      <c r="C191" s="238">
        <f t="shared" ca="1" si="20"/>
        <v>0</v>
      </c>
      <c r="D191" s="155">
        <f t="shared" ca="1" si="21"/>
        <v>183</v>
      </c>
      <c r="E191" s="209">
        <f t="shared" ca="1" si="16"/>
        <v>3</v>
      </c>
      <c r="F191" s="10">
        <f t="shared" ca="1" si="22"/>
        <v>51850</v>
      </c>
      <c r="G191" s="156">
        <f t="shared" ca="1" si="23"/>
        <v>176680.30315350115</v>
      </c>
      <c r="H191" s="156">
        <f ca="1">SUM($G$8:G191)*gamma</f>
        <v>565626.5005691743</v>
      </c>
      <c r="I191" s="23">
        <f ca="1">MAX(0,ROUND($I$7-$H$7-H191-SUM($G$8:G191),0))</f>
        <v>0</v>
      </c>
      <c r="J191" s="208">
        <f t="shared" ca="1" si="17"/>
        <v>183</v>
      </c>
    </row>
    <row r="192" spans="1:10" ht="15.75" customHeight="1" thickBot="1">
      <c r="A192" s="237">
        <f t="shared" ca="1" si="18"/>
        <v>51881</v>
      </c>
      <c r="B192" s="238">
        <f t="shared" ca="1" si="19"/>
        <v>176680</v>
      </c>
      <c r="C192" s="238">
        <f t="shared" ca="1" si="20"/>
        <v>0</v>
      </c>
      <c r="D192" s="155">
        <f t="shared" ca="1" si="21"/>
        <v>184</v>
      </c>
      <c r="E192" s="209">
        <f t="shared" ca="1" si="16"/>
        <v>4</v>
      </c>
      <c r="F192" s="10">
        <f t="shared" ca="1" si="22"/>
        <v>51881</v>
      </c>
      <c r="G192" s="156">
        <f t="shared" ca="1" si="23"/>
        <v>176680.30315350115</v>
      </c>
      <c r="H192" s="156">
        <f ca="1">SUM($G$8:G192)*gamma</f>
        <v>570926.90966377931</v>
      </c>
      <c r="I192" s="23">
        <f ca="1">MAX(0,ROUND($I$7-$H$7-H192-SUM($G$8:G192),0))</f>
        <v>0</v>
      </c>
      <c r="J192" s="208">
        <f t="shared" ca="1" si="17"/>
        <v>184</v>
      </c>
    </row>
    <row r="193" spans="1:10" ht="15.75" customHeight="1" thickBot="1">
      <c r="A193" s="237">
        <f t="shared" ca="1" si="18"/>
        <v>51912</v>
      </c>
      <c r="B193" s="238">
        <f t="shared" ca="1" si="19"/>
        <v>176680</v>
      </c>
      <c r="C193" s="238">
        <f t="shared" ca="1" si="20"/>
        <v>0</v>
      </c>
      <c r="D193" s="155">
        <f t="shared" ca="1" si="21"/>
        <v>185</v>
      </c>
      <c r="E193" s="209">
        <f t="shared" ca="1" si="16"/>
        <v>5</v>
      </c>
      <c r="F193" s="10">
        <f t="shared" ca="1" si="22"/>
        <v>51912</v>
      </c>
      <c r="G193" s="156">
        <f t="shared" ca="1" si="23"/>
        <v>176680.30315350115</v>
      </c>
      <c r="H193" s="156">
        <f ca="1">SUM($G$8:G193)*gamma</f>
        <v>576227.31875838421</v>
      </c>
      <c r="I193" s="23">
        <f ca="1">MAX(0,ROUND($I$7-$H$7-H193-SUM($G$8:G193),0))</f>
        <v>0</v>
      </c>
      <c r="J193" s="208">
        <f t="shared" ca="1" si="17"/>
        <v>185</v>
      </c>
    </row>
    <row r="194" spans="1:10" ht="15.75" customHeight="1" thickBot="1">
      <c r="A194" s="237">
        <f t="shared" ca="1" si="18"/>
        <v>51940</v>
      </c>
      <c r="B194" s="238">
        <f t="shared" ca="1" si="19"/>
        <v>176680</v>
      </c>
      <c r="C194" s="238">
        <f t="shared" ca="1" si="20"/>
        <v>0</v>
      </c>
      <c r="D194" s="155">
        <f t="shared" ca="1" si="21"/>
        <v>186</v>
      </c>
      <c r="E194" s="209">
        <f t="shared" ca="1" si="16"/>
        <v>6</v>
      </c>
      <c r="F194" s="10">
        <f t="shared" ca="1" si="22"/>
        <v>51940</v>
      </c>
      <c r="G194" s="156">
        <f t="shared" ca="1" si="23"/>
        <v>176680.30315350115</v>
      </c>
      <c r="H194" s="156">
        <f ca="1">SUM($G$8:G194)*gamma</f>
        <v>581527.72785298922</v>
      </c>
      <c r="I194" s="23">
        <f ca="1">MAX(0,ROUND($I$7-$H$7-H194-SUM($G$8:G194),0))</f>
        <v>0</v>
      </c>
      <c r="J194" s="208">
        <f t="shared" ca="1" si="17"/>
        <v>186</v>
      </c>
    </row>
    <row r="195" spans="1:10" ht="15.75" customHeight="1" thickBot="1">
      <c r="A195" s="237">
        <f t="shared" ca="1" si="18"/>
        <v>51971</v>
      </c>
      <c r="B195" s="238">
        <f t="shared" ca="1" si="19"/>
        <v>176680</v>
      </c>
      <c r="C195" s="238">
        <f t="shared" ca="1" si="20"/>
        <v>0</v>
      </c>
      <c r="D195" s="155">
        <f t="shared" ca="1" si="21"/>
        <v>187</v>
      </c>
      <c r="E195" s="209">
        <f t="shared" ca="1" si="16"/>
        <v>7</v>
      </c>
      <c r="F195" s="10">
        <f t="shared" ca="1" si="22"/>
        <v>51971</v>
      </c>
      <c r="G195" s="156">
        <f t="shared" ca="1" si="23"/>
        <v>176680.30315350115</v>
      </c>
      <c r="H195" s="156">
        <f ca="1">SUM($G$8:G195)*gamma</f>
        <v>586828.13694759423</v>
      </c>
      <c r="I195" s="23">
        <f ca="1">MAX(0,ROUND($I$7-$H$7-H195-SUM($G$8:G195),0))</f>
        <v>0</v>
      </c>
      <c r="J195" s="208">
        <f t="shared" ca="1" si="17"/>
        <v>187</v>
      </c>
    </row>
    <row r="196" spans="1:10" ht="15.75" customHeight="1" thickBot="1">
      <c r="A196" s="237">
        <f t="shared" ca="1" si="18"/>
        <v>52001</v>
      </c>
      <c r="B196" s="238">
        <f t="shared" ca="1" si="19"/>
        <v>176680</v>
      </c>
      <c r="C196" s="238">
        <f t="shared" ca="1" si="20"/>
        <v>0</v>
      </c>
      <c r="D196" s="155">
        <f t="shared" ca="1" si="21"/>
        <v>188</v>
      </c>
      <c r="E196" s="209">
        <f t="shared" ca="1" si="16"/>
        <v>8</v>
      </c>
      <c r="F196" s="10">
        <f t="shared" ca="1" si="22"/>
        <v>52001</v>
      </c>
      <c r="G196" s="156">
        <f t="shared" ca="1" si="23"/>
        <v>176680.30315350115</v>
      </c>
      <c r="H196" s="156">
        <f ca="1">SUM($G$8:G196)*gamma</f>
        <v>592128.54604219925</v>
      </c>
      <c r="I196" s="23">
        <f ca="1">MAX(0,ROUND($I$7-$H$7-H196-SUM($G$8:G196),0))</f>
        <v>0</v>
      </c>
      <c r="J196" s="208">
        <f t="shared" ca="1" si="17"/>
        <v>188</v>
      </c>
    </row>
    <row r="197" spans="1:10" ht="15.75" customHeight="1" thickBot="1">
      <c r="A197" s="237">
        <f t="shared" ca="1" si="18"/>
        <v>52032</v>
      </c>
      <c r="B197" s="238">
        <f t="shared" ca="1" si="19"/>
        <v>176680</v>
      </c>
      <c r="C197" s="238">
        <f t="shared" ca="1" si="20"/>
        <v>0</v>
      </c>
      <c r="D197" s="155">
        <f t="shared" ca="1" si="21"/>
        <v>189</v>
      </c>
      <c r="E197" s="209">
        <f t="shared" ca="1" si="16"/>
        <v>9</v>
      </c>
      <c r="F197" s="10">
        <f t="shared" ca="1" si="22"/>
        <v>52032</v>
      </c>
      <c r="G197" s="156">
        <f t="shared" ca="1" si="23"/>
        <v>176680.30315350115</v>
      </c>
      <c r="H197" s="156">
        <f ca="1">SUM($G$8:G197)*gamma</f>
        <v>597428.95513680426</v>
      </c>
      <c r="I197" s="23">
        <f ca="1">MAX(0,ROUND($I$7-$H$7-H197-SUM($G$8:G197),0))</f>
        <v>0</v>
      </c>
      <c r="J197" s="208">
        <f t="shared" ca="1" si="17"/>
        <v>189</v>
      </c>
    </row>
    <row r="198" spans="1:10" ht="15.75" customHeight="1" thickBot="1">
      <c r="A198" s="237">
        <f t="shared" ca="1" si="18"/>
        <v>52062</v>
      </c>
      <c r="B198" s="238">
        <f t="shared" ca="1" si="19"/>
        <v>176680</v>
      </c>
      <c r="C198" s="238">
        <f t="shared" ca="1" si="20"/>
        <v>0</v>
      </c>
      <c r="D198" s="155">
        <f t="shared" ca="1" si="21"/>
        <v>190</v>
      </c>
      <c r="E198" s="209">
        <f t="shared" ca="1" si="16"/>
        <v>10</v>
      </c>
      <c r="F198" s="10">
        <f t="shared" ca="1" si="22"/>
        <v>52062</v>
      </c>
      <c r="G198" s="156">
        <f t="shared" ca="1" si="23"/>
        <v>176680.30315350115</v>
      </c>
      <c r="H198" s="156">
        <f ca="1">SUM($G$8:G198)*gamma</f>
        <v>602729.36423140927</v>
      </c>
      <c r="I198" s="23">
        <f ca="1">MAX(0,ROUND($I$7-$H$7-H198-SUM($G$8:G198),0))</f>
        <v>0</v>
      </c>
      <c r="J198" s="208">
        <f t="shared" ca="1" si="17"/>
        <v>190</v>
      </c>
    </row>
    <row r="199" spans="1:10" ht="15.75" customHeight="1" thickBot="1">
      <c r="A199" s="237">
        <f t="shared" ca="1" si="18"/>
        <v>52093</v>
      </c>
      <c r="B199" s="238">
        <f t="shared" ca="1" si="19"/>
        <v>176680</v>
      </c>
      <c r="C199" s="238">
        <f t="shared" ca="1" si="20"/>
        <v>0</v>
      </c>
      <c r="D199" s="155">
        <f t="shared" ca="1" si="21"/>
        <v>191</v>
      </c>
      <c r="E199" s="209">
        <f t="shared" ca="1" si="16"/>
        <v>11</v>
      </c>
      <c r="F199" s="10">
        <f t="shared" ca="1" si="22"/>
        <v>52093</v>
      </c>
      <c r="G199" s="156">
        <f t="shared" ca="1" si="23"/>
        <v>176680.30315350115</v>
      </c>
      <c r="H199" s="156">
        <f ca="1">SUM($G$8:G199)*gamma</f>
        <v>608029.77332601428</v>
      </c>
      <c r="I199" s="23">
        <f ca="1">MAX(0,ROUND($I$7-$H$7-H199-SUM($G$8:G199),0))</f>
        <v>0</v>
      </c>
      <c r="J199" s="208">
        <f t="shared" ca="1" si="17"/>
        <v>191</v>
      </c>
    </row>
    <row r="200" spans="1:10" ht="15.75" customHeight="1" thickBot="1">
      <c r="A200" s="237">
        <f t="shared" ca="1" si="18"/>
        <v>52124</v>
      </c>
      <c r="B200" s="238">
        <f t="shared" ca="1" si="19"/>
        <v>190815</v>
      </c>
      <c r="C200" s="238">
        <f t="shared" ca="1" si="20"/>
        <v>0</v>
      </c>
      <c r="D200" s="155">
        <f t="shared" ca="1" si="21"/>
        <v>192</v>
      </c>
      <c r="E200" s="209">
        <f t="shared" ref="E200:E263" ca="1" si="24">MOD(J200,12)</f>
        <v>0</v>
      </c>
      <c r="F200" s="10">
        <f t="shared" ca="1" si="22"/>
        <v>52124</v>
      </c>
      <c r="G200" s="156">
        <f t="shared" ca="1" si="23"/>
        <v>190814.72740578125</v>
      </c>
      <c r="H200" s="156">
        <f ca="1">SUM($G$8:G200)*gamma</f>
        <v>613754.21514818771</v>
      </c>
      <c r="I200" s="23">
        <f ca="1">MAX(0,ROUND($I$7-$H$7-H200-SUM($G$8:G200),0))</f>
        <v>0</v>
      </c>
      <c r="J200" s="208">
        <f t="shared" ref="J200:J263" ca="1" si="25">IF(G199&gt;0,1+J199,0)</f>
        <v>192</v>
      </c>
    </row>
    <row r="201" spans="1:10" ht="15.75" customHeight="1" thickBot="1">
      <c r="A201" s="237">
        <f t="shared" ref="A201:A264" ca="1" si="26">IF(d_plast&gt;=F201,F201,"")</f>
        <v>52154</v>
      </c>
      <c r="B201" s="238">
        <f t="shared" ref="B201:B264" ca="1" si="27">IF(A201="","",ROUND(G201,0))</f>
        <v>190815</v>
      </c>
      <c r="C201" s="238">
        <f t="shared" ref="C201:C264" ca="1" si="28">IF(A201&lt;&gt;"",IF(end=2,IF(D201&lt;24,0,I201),I201),"")</f>
        <v>0</v>
      </c>
      <c r="D201" s="155">
        <f t="shared" ref="D201:D264" ca="1" si="29">D200+freq_2</f>
        <v>193</v>
      </c>
      <c r="E201" s="209">
        <f t="shared" ca="1" si="24"/>
        <v>1</v>
      </c>
      <c r="F201" s="10">
        <f t="shared" ref="F201:F264" ca="1" si="30">EDATE($F$8,D201)</f>
        <v>52154</v>
      </c>
      <c r="G201" s="156">
        <f t="shared" ref="G201:G264" ca="1" si="31">IF(A201&lt;d_begin,0,IF(G200=0,Ben,IF(E201=0,G200*(1+index),G200)))</f>
        <v>190814.72740578125</v>
      </c>
      <c r="H201" s="156">
        <f ca="1">SUM($G$8:G201)*gamma</f>
        <v>619478.65697036125</v>
      </c>
      <c r="I201" s="23">
        <f ca="1">MAX(0,ROUND($I$7-$H$7-H201-SUM($G$8:G201),0))</f>
        <v>0</v>
      </c>
      <c r="J201" s="208">
        <f t="shared" ca="1" si="25"/>
        <v>193</v>
      </c>
    </row>
    <row r="202" spans="1:10" ht="15.75" customHeight="1" thickBot="1">
      <c r="A202" s="237">
        <f t="shared" ca="1" si="26"/>
        <v>52185</v>
      </c>
      <c r="B202" s="238">
        <f t="shared" ca="1" si="27"/>
        <v>190815</v>
      </c>
      <c r="C202" s="238">
        <f t="shared" ca="1" si="28"/>
        <v>0</v>
      </c>
      <c r="D202" s="155">
        <f t="shared" ca="1" si="29"/>
        <v>194</v>
      </c>
      <c r="E202" s="209">
        <f t="shared" ca="1" si="24"/>
        <v>2</v>
      </c>
      <c r="F202" s="10">
        <f t="shared" ca="1" si="30"/>
        <v>52185</v>
      </c>
      <c r="G202" s="156">
        <f t="shared" ca="1" si="31"/>
        <v>190814.72740578125</v>
      </c>
      <c r="H202" s="156">
        <f ca="1">SUM($G$8:G202)*gamma</f>
        <v>625203.09879253467</v>
      </c>
      <c r="I202" s="23">
        <f ca="1">MAX(0,ROUND($I$7-$H$7-H202-SUM($G$8:G202),0))</f>
        <v>0</v>
      </c>
      <c r="J202" s="208">
        <f t="shared" ca="1" si="25"/>
        <v>194</v>
      </c>
    </row>
    <row r="203" spans="1:10" ht="15.75" customHeight="1" thickBot="1">
      <c r="A203" s="237">
        <f t="shared" ca="1" si="26"/>
        <v>52215</v>
      </c>
      <c r="B203" s="238">
        <f t="shared" ca="1" si="27"/>
        <v>190815</v>
      </c>
      <c r="C203" s="238">
        <f t="shared" ca="1" si="28"/>
        <v>0</v>
      </c>
      <c r="D203" s="155">
        <f t="shared" ca="1" si="29"/>
        <v>195</v>
      </c>
      <c r="E203" s="209">
        <f t="shared" ca="1" si="24"/>
        <v>3</v>
      </c>
      <c r="F203" s="10">
        <f t="shared" ca="1" si="30"/>
        <v>52215</v>
      </c>
      <c r="G203" s="156">
        <f t="shared" ca="1" si="31"/>
        <v>190814.72740578125</v>
      </c>
      <c r="H203" s="156">
        <f ca="1">SUM($G$8:G203)*gamma</f>
        <v>630927.54061470821</v>
      </c>
      <c r="I203" s="23">
        <f ca="1">MAX(0,ROUND($I$7-$H$7-H203-SUM($G$8:G203),0))</f>
        <v>0</v>
      </c>
      <c r="J203" s="208">
        <f t="shared" ca="1" si="25"/>
        <v>195</v>
      </c>
    </row>
    <row r="204" spans="1:10" ht="15.75" customHeight="1" thickBot="1">
      <c r="A204" s="237">
        <f t="shared" ca="1" si="26"/>
        <v>52246</v>
      </c>
      <c r="B204" s="238">
        <f t="shared" ca="1" si="27"/>
        <v>190815</v>
      </c>
      <c r="C204" s="238">
        <f t="shared" ca="1" si="28"/>
        <v>0</v>
      </c>
      <c r="D204" s="155">
        <f t="shared" ca="1" si="29"/>
        <v>196</v>
      </c>
      <c r="E204" s="209">
        <f t="shared" ca="1" si="24"/>
        <v>4</v>
      </c>
      <c r="F204" s="10">
        <f t="shared" ca="1" si="30"/>
        <v>52246</v>
      </c>
      <c r="G204" s="156">
        <f t="shared" ca="1" si="31"/>
        <v>190814.72740578125</v>
      </c>
      <c r="H204" s="156">
        <f ca="1">SUM($G$8:G204)*gamma</f>
        <v>636651.98243688163</v>
      </c>
      <c r="I204" s="23">
        <f ca="1">MAX(0,ROUND($I$7-$H$7-H204-SUM($G$8:G204),0))</f>
        <v>0</v>
      </c>
      <c r="J204" s="208">
        <f t="shared" ca="1" si="25"/>
        <v>196</v>
      </c>
    </row>
    <row r="205" spans="1:10" ht="15.75" customHeight="1" thickBot="1">
      <c r="A205" s="237">
        <f t="shared" ca="1" si="26"/>
        <v>52277</v>
      </c>
      <c r="B205" s="238">
        <f t="shared" ca="1" si="27"/>
        <v>190815</v>
      </c>
      <c r="C205" s="238">
        <f t="shared" ca="1" si="28"/>
        <v>0</v>
      </c>
      <c r="D205" s="155">
        <f t="shared" ca="1" si="29"/>
        <v>197</v>
      </c>
      <c r="E205" s="209">
        <f t="shared" ca="1" si="24"/>
        <v>5</v>
      </c>
      <c r="F205" s="10">
        <f t="shared" ca="1" si="30"/>
        <v>52277</v>
      </c>
      <c r="G205" s="156">
        <f t="shared" ca="1" si="31"/>
        <v>190814.72740578125</v>
      </c>
      <c r="H205" s="156">
        <f ca="1">SUM($G$8:G205)*gamma</f>
        <v>642376.42425905517</v>
      </c>
      <c r="I205" s="23">
        <f ca="1">MAX(0,ROUND($I$7-$H$7-H205-SUM($G$8:G205),0))</f>
        <v>0</v>
      </c>
      <c r="J205" s="208">
        <f t="shared" ca="1" si="25"/>
        <v>197</v>
      </c>
    </row>
    <row r="206" spans="1:10" ht="15.75" customHeight="1" thickBot="1">
      <c r="A206" s="237">
        <f t="shared" ca="1" si="26"/>
        <v>52305</v>
      </c>
      <c r="B206" s="238">
        <f t="shared" ca="1" si="27"/>
        <v>190815</v>
      </c>
      <c r="C206" s="238">
        <f t="shared" ca="1" si="28"/>
        <v>0</v>
      </c>
      <c r="D206" s="155">
        <f t="shared" ca="1" si="29"/>
        <v>198</v>
      </c>
      <c r="E206" s="209">
        <f t="shared" ca="1" si="24"/>
        <v>6</v>
      </c>
      <c r="F206" s="10">
        <f t="shared" ca="1" si="30"/>
        <v>52305</v>
      </c>
      <c r="G206" s="156">
        <f t="shared" ca="1" si="31"/>
        <v>190814.72740578125</v>
      </c>
      <c r="H206" s="156">
        <f ca="1">SUM($G$8:G206)*gamma</f>
        <v>648100.8660812286</v>
      </c>
      <c r="I206" s="23">
        <f ca="1">MAX(0,ROUND($I$7-$H$7-H206-SUM($G$8:G206),0))</f>
        <v>0</v>
      </c>
      <c r="J206" s="208">
        <f t="shared" ca="1" si="25"/>
        <v>198</v>
      </c>
    </row>
    <row r="207" spans="1:10" ht="15.75" customHeight="1" thickBot="1">
      <c r="A207" s="237">
        <f t="shared" ca="1" si="26"/>
        <v>52336</v>
      </c>
      <c r="B207" s="238">
        <f t="shared" ca="1" si="27"/>
        <v>190815</v>
      </c>
      <c r="C207" s="238">
        <f t="shared" ca="1" si="28"/>
        <v>0</v>
      </c>
      <c r="D207" s="155">
        <f t="shared" ca="1" si="29"/>
        <v>199</v>
      </c>
      <c r="E207" s="209">
        <f t="shared" ca="1" si="24"/>
        <v>7</v>
      </c>
      <c r="F207" s="10">
        <f t="shared" ca="1" si="30"/>
        <v>52336</v>
      </c>
      <c r="G207" s="156">
        <f t="shared" ca="1" si="31"/>
        <v>190814.72740578125</v>
      </c>
      <c r="H207" s="156">
        <f ca="1">SUM($G$8:G207)*gamma</f>
        <v>653825.30790340214</v>
      </c>
      <c r="I207" s="23">
        <f ca="1">MAX(0,ROUND($I$7-$H$7-H207-SUM($G$8:G207),0))</f>
        <v>0</v>
      </c>
      <c r="J207" s="208">
        <f t="shared" ca="1" si="25"/>
        <v>199</v>
      </c>
    </row>
    <row r="208" spans="1:10" ht="15.75" customHeight="1" thickBot="1">
      <c r="A208" s="237">
        <f t="shared" ca="1" si="26"/>
        <v>52366</v>
      </c>
      <c r="B208" s="238">
        <f t="shared" ca="1" si="27"/>
        <v>190815</v>
      </c>
      <c r="C208" s="238">
        <f t="shared" ca="1" si="28"/>
        <v>0</v>
      </c>
      <c r="D208" s="155">
        <f t="shared" ca="1" si="29"/>
        <v>200</v>
      </c>
      <c r="E208" s="209">
        <f t="shared" ca="1" si="24"/>
        <v>8</v>
      </c>
      <c r="F208" s="10">
        <f t="shared" ca="1" si="30"/>
        <v>52366</v>
      </c>
      <c r="G208" s="156">
        <f t="shared" ca="1" si="31"/>
        <v>190814.72740578125</v>
      </c>
      <c r="H208" s="156">
        <f ca="1">SUM($G$8:G208)*gamma</f>
        <v>659549.74972557556</v>
      </c>
      <c r="I208" s="23">
        <f ca="1">MAX(0,ROUND($I$7-$H$7-H208-SUM($G$8:G208),0))</f>
        <v>0</v>
      </c>
      <c r="J208" s="208">
        <f t="shared" ca="1" si="25"/>
        <v>200</v>
      </c>
    </row>
    <row r="209" spans="1:10" ht="15.75" customHeight="1" thickBot="1">
      <c r="A209" s="237">
        <f t="shared" ca="1" si="26"/>
        <v>52397</v>
      </c>
      <c r="B209" s="238">
        <f t="shared" ca="1" si="27"/>
        <v>190815</v>
      </c>
      <c r="C209" s="238">
        <f t="shared" ca="1" si="28"/>
        <v>0</v>
      </c>
      <c r="D209" s="155">
        <f t="shared" ca="1" si="29"/>
        <v>201</v>
      </c>
      <c r="E209" s="209">
        <f t="shared" ca="1" si="24"/>
        <v>9</v>
      </c>
      <c r="F209" s="10">
        <f t="shared" ca="1" si="30"/>
        <v>52397</v>
      </c>
      <c r="G209" s="156">
        <f t="shared" ca="1" si="31"/>
        <v>190814.72740578125</v>
      </c>
      <c r="H209" s="156">
        <f ca="1">SUM($G$8:G209)*gamma</f>
        <v>665274.1915477491</v>
      </c>
      <c r="I209" s="23">
        <f ca="1">MAX(0,ROUND($I$7-$H$7-H209-SUM($G$8:G209),0))</f>
        <v>0</v>
      </c>
      <c r="J209" s="208">
        <f t="shared" ca="1" si="25"/>
        <v>201</v>
      </c>
    </row>
    <row r="210" spans="1:10" ht="15.75" customHeight="1" thickBot="1">
      <c r="A210" s="237">
        <f t="shared" ca="1" si="26"/>
        <v>52427</v>
      </c>
      <c r="B210" s="238">
        <f t="shared" ca="1" si="27"/>
        <v>190815</v>
      </c>
      <c r="C210" s="238">
        <f t="shared" ca="1" si="28"/>
        <v>0</v>
      </c>
      <c r="D210" s="155">
        <f t="shared" ca="1" si="29"/>
        <v>202</v>
      </c>
      <c r="E210" s="209">
        <f t="shared" ca="1" si="24"/>
        <v>10</v>
      </c>
      <c r="F210" s="10">
        <f t="shared" ca="1" si="30"/>
        <v>52427</v>
      </c>
      <c r="G210" s="156">
        <f t="shared" ca="1" si="31"/>
        <v>190814.72740578125</v>
      </c>
      <c r="H210" s="156">
        <f ca="1">SUM($G$8:G210)*gamma</f>
        <v>670998.63336992252</v>
      </c>
      <c r="I210" s="23">
        <f ca="1">MAX(0,ROUND($I$7-$H$7-H210-SUM($G$8:G210),0))</f>
        <v>0</v>
      </c>
      <c r="J210" s="208">
        <f t="shared" ca="1" si="25"/>
        <v>202</v>
      </c>
    </row>
    <row r="211" spans="1:10" ht="15.75" customHeight="1" thickBot="1">
      <c r="A211" s="237">
        <f t="shared" ca="1" si="26"/>
        <v>52458</v>
      </c>
      <c r="B211" s="238">
        <f t="shared" ca="1" si="27"/>
        <v>190815</v>
      </c>
      <c r="C211" s="238">
        <f t="shared" ca="1" si="28"/>
        <v>0</v>
      </c>
      <c r="D211" s="155">
        <f t="shared" ca="1" si="29"/>
        <v>203</v>
      </c>
      <c r="E211" s="209">
        <f t="shared" ca="1" si="24"/>
        <v>11</v>
      </c>
      <c r="F211" s="10">
        <f t="shared" ca="1" si="30"/>
        <v>52458</v>
      </c>
      <c r="G211" s="156">
        <f t="shared" ca="1" si="31"/>
        <v>190814.72740578125</v>
      </c>
      <c r="H211" s="156">
        <f ca="1">SUM($G$8:G211)*gamma</f>
        <v>676723.07519209606</v>
      </c>
      <c r="I211" s="23">
        <f ca="1">MAX(0,ROUND($I$7-$H$7-H211-SUM($G$8:G211),0))</f>
        <v>0</v>
      </c>
      <c r="J211" s="208">
        <f t="shared" ca="1" si="25"/>
        <v>203</v>
      </c>
    </row>
    <row r="212" spans="1:10" ht="15.75" customHeight="1" thickBot="1">
      <c r="A212" s="237">
        <f t="shared" ca="1" si="26"/>
        <v>52489</v>
      </c>
      <c r="B212" s="238">
        <f t="shared" ca="1" si="27"/>
        <v>206080</v>
      </c>
      <c r="C212" s="238">
        <f t="shared" ca="1" si="28"/>
        <v>0</v>
      </c>
      <c r="D212" s="155">
        <f t="shared" ca="1" si="29"/>
        <v>204</v>
      </c>
      <c r="E212" s="209">
        <f t="shared" ca="1" si="24"/>
        <v>0</v>
      </c>
      <c r="F212" s="10">
        <f t="shared" ca="1" si="30"/>
        <v>52489</v>
      </c>
      <c r="G212" s="156">
        <f t="shared" ca="1" si="31"/>
        <v>206079.90559824376</v>
      </c>
      <c r="H212" s="156">
        <f ca="1">SUM($G$8:G212)*gamma</f>
        <v>682905.47236004344</v>
      </c>
      <c r="I212" s="23">
        <f ca="1">MAX(0,ROUND($I$7-$H$7-H212-SUM($G$8:G212),0))</f>
        <v>0</v>
      </c>
      <c r="J212" s="208">
        <f t="shared" ca="1" si="25"/>
        <v>204</v>
      </c>
    </row>
    <row r="213" spans="1:10" ht="15.75" customHeight="1" thickBot="1">
      <c r="A213" s="237">
        <f t="shared" ca="1" si="26"/>
        <v>52519</v>
      </c>
      <c r="B213" s="238">
        <f t="shared" ca="1" si="27"/>
        <v>206080</v>
      </c>
      <c r="C213" s="238">
        <f t="shared" ca="1" si="28"/>
        <v>0</v>
      </c>
      <c r="D213" s="155">
        <f t="shared" ca="1" si="29"/>
        <v>205</v>
      </c>
      <c r="E213" s="209">
        <f t="shared" ca="1" si="24"/>
        <v>1</v>
      </c>
      <c r="F213" s="10">
        <f t="shared" ca="1" si="30"/>
        <v>52519</v>
      </c>
      <c r="G213" s="156">
        <f t="shared" ca="1" si="31"/>
        <v>206079.90559824376</v>
      </c>
      <c r="H213" s="156">
        <f ca="1">SUM($G$8:G213)*gamma</f>
        <v>689087.86952799081</v>
      </c>
      <c r="I213" s="23">
        <f ca="1">MAX(0,ROUND($I$7-$H$7-H213-SUM($G$8:G213),0))</f>
        <v>0</v>
      </c>
      <c r="J213" s="208">
        <f t="shared" ca="1" si="25"/>
        <v>205</v>
      </c>
    </row>
    <row r="214" spans="1:10" ht="15.75" customHeight="1" thickBot="1">
      <c r="A214" s="237">
        <f t="shared" ca="1" si="26"/>
        <v>52550</v>
      </c>
      <c r="B214" s="238">
        <f t="shared" ca="1" si="27"/>
        <v>206080</v>
      </c>
      <c r="C214" s="238">
        <f t="shared" ca="1" si="28"/>
        <v>0</v>
      </c>
      <c r="D214" s="155">
        <f t="shared" ca="1" si="29"/>
        <v>206</v>
      </c>
      <c r="E214" s="209">
        <f t="shared" ca="1" si="24"/>
        <v>2</v>
      </c>
      <c r="F214" s="10">
        <f t="shared" ca="1" si="30"/>
        <v>52550</v>
      </c>
      <c r="G214" s="156">
        <f t="shared" ca="1" si="31"/>
        <v>206079.90559824376</v>
      </c>
      <c r="H214" s="156">
        <f ca="1">SUM($G$8:G214)*gamma</f>
        <v>695270.26669593819</v>
      </c>
      <c r="I214" s="23">
        <f ca="1">MAX(0,ROUND($I$7-$H$7-H214-SUM($G$8:G214),0))</f>
        <v>0</v>
      </c>
      <c r="J214" s="208">
        <f t="shared" ca="1" si="25"/>
        <v>206</v>
      </c>
    </row>
    <row r="215" spans="1:10" ht="15.75" customHeight="1" thickBot="1">
      <c r="A215" s="237">
        <f t="shared" ca="1" si="26"/>
        <v>52580</v>
      </c>
      <c r="B215" s="238">
        <f t="shared" ca="1" si="27"/>
        <v>206080</v>
      </c>
      <c r="C215" s="238">
        <f t="shared" ca="1" si="28"/>
        <v>0</v>
      </c>
      <c r="D215" s="155">
        <f t="shared" ca="1" si="29"/>
        <v>207</v>
      </c>
      <c r="E215" s="209">
        <f t="shared" ca="1" si="24"/>
        <v>3</v>
      </c>
      <c r="F215" s="10">
        <f t="shared" ca="1" si="30"/>
        <v>52580</v>
      </c>
      <c r="G215" s="156">
        <f t="shared" ca="1" si="31"/>
        <v>206079.90559824376</v>
      </c>
      <c r="H215" s="156">
        <f ca="1">SUM($G$8:G215)*gamma</f>
        <v>701452.66386388557</v>
      </c>
      <c r="I215" s="23">
        <f ca="1">MAX(0,ROUND($I$7-$H$7-H215-SUM($G$8:G215),0))</f>
        <v>0</v>
      </c>
      <c r="J215" s="208">
        <f t="shared" ca="1" si="25"/>
        <v>207</v>
      </c>
    </row>
    <row r="216" spans="1:10" ht="15.75" customHeight="1" thickBot="1">
      <c r="A216" s="237">
        <f t="shared" ca="1" si="26"/>
        <v>52611</v>
      </c>
      <c r="B216" s="238">
        <f t="shared" ca="1" si="27"/>
        <v>206080</v>
      </c>
      <c r="C216" s="238">
        <f t="shared" ca="1" si="28"/>
        <v>0</v>
      </c>
      <c r="D216" s="155">
        <f t="shared" ca="1" si="29"/>
        <v>208</v>
      </c>
      <c r="E216" s="209">
        <f t="shared" ca="1" si="24"/>
        <v>4</v>
      </c>
      <c r="F216" s="10">
        <f t="shared" ca="1" si="30"/>
        <v>52611</v>
      </c>
      <c r="G216" s="156">
        <f t="shared" ca="1" si="31"/>
        <v>206079.90559824376</v>
      </c>
      <c r="H216" s="156">
        <f ca="1">SUM($G$8:G216)*gamma</f>
        <v>707635.06103183294</v>
      </c>
      <c r="I216" s="23">
        <f ca="1">MAX(0,ROUND($I$7-$H$7-H216-SUM($G$8:G216),0))</f>
        <v>0</v>
      </c>
      <c r="J216" s="208">
        <f t="shared" ca="1" si="25"/>
        <v>208</v>
      </c>
    </row>
    <row r="217" spans="1:10" ht="15.75" customHeight="1" thickBot="1">
      <c r="A217" s="237">
        <f t="shared" ca="1" si="26"/>
        <v>52642</v>
      </c>
      <c r="B217" s="238">
        <f t="shared" ca="1" si="27"/>
        <v>206080</v>
      </c>
      <c r="C217" s="238">
        <f t="shared" ca="1" si="28"/>
        <v>0</v>
      </c>
      <c r="D217" s="155">
        <f t="shared" ca="1" si="29"/>
        <v>209</v>
      </c>
      <c r="E217" s="209">
        <f t="shared" ca="1" si="24"/>
        <v>5</v>
      </c>
      <c r="F217" s="10">
        <f t="shared" ca="1" si="30"/>
        <v>52642</v>
      </c>
      <c r="G217" s="156">
        <f t="shared" ca="1" si="31"/>
        <v>206079.90559824376</v>
      </c>
      <c r="H217" s="156">
        <f ca="1">SUM($G$8:G217)*gamma</f>
        <v>713817.4581997802</v>
      </c>
      <c r="I217" s="23">
        <f ca="1">MAX(0,ROUND($I$7-$H$7-H217-SUM($G$8:G217),0))</f>
        <v>0</v>
      </c>
      <c r="J217" s="208">
        <f t="shared" ca="1" si="25"/>
        <v>209</v>
      </c>
    </row>
    <row r="218" spans="1:10" ht="15.75" customHeight="1" thickBot="1">
      <c r="A218" s="237">
        <f t="shared" ca="1" si="26"/>
        <v>52671</v>
      </c>
      <c r="B218" s="238">
        <f t="shared" ca="1" si="27"/>
        <v>206080</v>
      </c>
      <c r="C218" s="238">
        <f t="shared" ca="1" si="28"/>
        <v>0</v>
      </c>
      <c r="D218" s="155">
        <f t="shared" ca="1" si="29"/>
        <v>210</v>
      </c>
      <c r="E218" s="209">
        <f t="shared" ca="1" si="24"/>
        <v>6</v>
      </c>
      <c r="F218" s="10">
        <f t="shared" ca="1" si="30"/>
        <v>52671</v>
      </c>
      <c r="G218" s="156">
        <f t="shared" ca="1" si="31"/>
        <v>206079.90559824376</v>
      </c>
      <c r="H218" s="156">
        <f ca="1">SUM($G$8:G218)*gamma</f>
        <v>719999.85536772758</v>
      </c>
      <c r="I218" s="23">
        <f ca="1">MAX(0,ROUND($I$7-$H$7-H218-SUM($G$8:G218),0))</f>
        <v>0</v>
      </c>
      <c r="J218" s="208">
        <f t="shared" ca="1" si="25"/>
        <v>210</v>
      </c>
    </row>
    <row r="219" spans="1:10" ht="15.75" customHeight="1" thickBot="1">
      <c r="A219" s="237">
        <f t="shared" ca="1" si="26"/>
        <v>52702</v>
      </c>
      <c r="B219" s="238">
        <f t="shared" ca="1" si="27"/>
        <v>206080</v>
      </c>
      <c r="C219" s="238">
        <f t="shared" ca="1" si="28"/>
        <v>0</v>
      </c>
      <c r="D219" s="155">
        <f t="shared" ca="1" si="29"/>
        <v>211</v>
      </c>
      <c r="E219" s="209">
        <f t="shared" ca="1" si="24"/>
        <v>7</v>
      </c>
      <c r="F219" s="10">
        <f t="shared" ca="1" si="30"/>
        <v>52702</v>
      </c>
      <c r="G219" s="156">
        <f t="shared" ca="1" si="31"/>
        <v>206079.90559824376</v>
      </c>
      <c r="H219" s="156">
        <f ca="1">SUM($G$8:G219)*gamma</f>
        <v>726182.25253567495</v>
      </c>
      <c r="I219" s="23">
        <f ca="1">MAX(0,ROUND($I$7-$H$7-H219-SUM($G$8:G219),0))</f>
        <v>0</v>
      </c>
      <c r="J219" s="208">
        <f t="shared" ca="1" si="25"/>
        <v>211</v>
      </c>
    </row>
    <row r="220" spans="1:10" ht="15.75" customHeight="1" thickBot="1">
      <c r="A220" s="237">
        <f t="shared" ca="1" si="26"/>
        <v>52732</v>
      </c>
      <c r="B220" s="238">
        <f t="shared" ca="1" si="27"/>
        <v>206080</v>
      </c>
      <c r="C220" s="238">
        <f t="shared" ca="1" si="28"/>
        <v>0</v>
      </c>
      <c r="D220" s="155">
        <f t="shared" ca="1" si="29"/>
        <v>212</v>
      </c>
      <c r="E220" s="209">
        <f t="shared" ca="1" si="24"/>
        <v>8</v>
      </c>
      <c r="F220" s="10">
        <f t="shared" ca="1" si="30"/>
        <v>52732</v>
      </c>
      <c r="G220" s="156">
        <f t="shared" ca="1" si="31"/>
        <v>206079.90559824376</v>
      </c>
      <c r="H220" s="156">
        <f ca="1">SUM($G$8:G220)*gamma</f>
        <v>732364.64970362233</v>
      </c>
      <c r="I220" s="23">
        <f ca="1">MAX(0,ROUND($I$7-$H$7-H220-SUM($G$8:G220),0))</f>
        <v>0</v>
      </c>
      <c r="J220" s="208">
        <f t="shared" ca="1" si="25"/>
        <v>212</v>
      </c>
    </row>
    <row r="221" spans="1:10" ht="15.75" customHeight="1" thickBot="1">
      <c r="A221" s="237">
        <f t="shared" ca="1" si="26"/>
        <v>52763</v>
      </c>
      <c r="B221" s="238">
        <f t="shared" ca="1" si="27"/>
        <v>206080</v>
      </c>
      <c r="C221" s="238">
        <f t="shared" ca="1" si="28"/>
        <v>0</v>
      </c>
      <c r="D221" s="155">
        <f t="shared" ca="1" si="29"/>
        <v>213</v>
      </c>
      <c r="E221" s="209">
        <f t="shared" ca="1" si="24"/>
        <v>9</v>
      </c>
      <c r="F221" s="10">
        <f t="shared" ca="1" si="30"/>
        <v>52763</v>
      </c>
      <c r="G221" s="156">
        <f t="shared" ca="1" si="31"/>
        <v>206079.90559824376</v>
      </c>
      <c r="H221" s="156">
        <f ca="1">SUM($G$8:G221)*gamma</f>
        <v>738547.04687156971</v>
      </c>
      <c r="I221" s="23">
        <f ca="1">MAX(0,ROUND($I$7-$H$7-H221-SUM($G$8:G221),0))</f>
        <v>0</v>
      </c>
      <c r="J221" s="208">
        <f t="shared" ca="1" si="25"/>
        <v>213</v>
      </c>
    </row>
    <row r="222" spans="1:10" ht="15.75" customHeight="1" thickBot="1">
      <c r="A222" s="237">
        <f t="shared" ca="1" si="26"/>
        <v>52793</v>
      </c>
      <c r="B222" s="238">
        <f t="shared" ca="1" si="27"/>
        <v>206080</v>
      </c>
      <c r="C222" s="238">
        <f t="shared" ca="1" si="28"/>
        <v>0</v>
      </c>
      <c r="D222" s="155">
        <f t="shared" ca="1" si="29"/>
        <v>214</v>
      </c>
      <c r="E222" s="209">
        <f t="shared" ca="1" si="24"/>
        <v>10</v>
      </c>
      <c r="F222" s="10">
        <f t="shared" ca="1" si="30"/>
        <v>52793</v>
      </c>
      <c r="G222" s="156">
        <f t="shared" ca="1" si="31"/>
        <v>206079.90559824376</v>
      </c>
      <c r="H222" s="156">
        <f ca="1">SUM($G$8:G222)*gamma</f>
        <v>744729.44403951708</v>
      </c>
      <c r="I222" s="23">
        <f ca="1">MAX(0,ROUND($I$7-$H$7-H222-SUM($G$8:G222),0))</f>
        <v>0</v>
      </c>
      <c r="J222" s="208">
        <f t="shared" ca="1" si="25"/>
        <v>214</v>
      </c>
    </row>
    <row r="223" spans="1:10" ht="15.75" customHeight="1" thickBot="1">
      <c r="A223" s="237">
        <f t="shared" ca="1" si="26"/>
        <v>52824</v>
      </c>
      <c r="B223" s="238">
        <f t="shared" ca="1" si="27"/>
        <v>206080</v>
      </c>
      <c r="C223" s="238">
        <f t="shared" ca="1" si="28"/>
        <v>0</v>
      </c>
      <c r="D223" s="155">
        <f t="shared" ca="1" si="29"/>
        <v>215</v>
      </c>
      <c r="E223" s="209">
        <f t="shared" ca="1" si="24"/>
        <v>11</v>
      </c>
      <c r="F223" s="10">
        <f t="shared" ca="1" si="30"/>
        <v>52824</v>
      </c>
      <c r="G223" s="156">
        <f t="shared" ca="1" si="31"/>
        <v>206079.90559824376</v>
      </c>
      <c r="H223" s="156">
        <f ca="1">SUM($G$8:G223)*gamma</f>
        <v>750911.84120746446</v>
      </c>
      <c r="I223" s="23">
        <f ca="1">MAX(0,ROUND($I$7-$H$7-H223-SUM($G$8:G223),0))</f>
        <v>0</v>
      </c>
      <c r="J223" s="208">
        <f t="shared" ca="1" si="25"/>
        <v>215</v>
      </c>
    </row>
    <row r="224" spans="1:10" ht="15.75" customHeight="1" thickBot="1">
      <c r="A224" s="237">
        <f t="shared" ca="1" si="26"/>
        <v>52855</v>
      </c>
      <c r="B224" s="238">
        <f t="shared" ca="1" si="27"/>
        <v>222566</v>
      </c>
      <c r="C224" s="238">
        <f t="shared" ca="1" si="28"/>
        <v>0</v>
      </c>
      <c r="D224" s="155">
        <f t="shared" ca="1" si="29"/>
        <v>216</v>
      </c>
      <c r="E224" s="209">
        <f t="shared" ca="1" si="24"/>
        <v>0</v>
      </c>
      <c r="F224" s="10">
        <f t="shared" ca="1" si="30"/>
        <v>52855</v>
      </c>
      <c r="G224" s="156">
        <f t="shared" ca="1" si="31"/>
        <v>222566.29804610327</v>
      </c>
      <c r="H224" s="156">
        <f ca="1">SUM($G$8:G224)*gamma</f>
        <v>757588.83014884754</v>
      </c>
      <c r="I224" s="23">
        <f ca="1">MAX(0,ROUND($I$7-$H$7-H224-SUM($G$8:G224),0))</f>
        <v>0</v>
      </c>
      <c r="J224" s="208">
        <f t="shared" ca="1" si="25"/>
        <v>216</v>
      </c>
    </row>
    <row r="225" spans="1:10" ht="15.75" customHeight="1" thickBot="1">
      <c r="A225" s="237">
        <f t="shared" ca="1" si="26"/>
        <v>52885</v>
      </c>
      <c r="B225" s="238">
        <f t="shared" ca="1" si="27"/>
        <v>222566</v>
      </c>
      <c r="C225" s="238">
        <f t="shared" ca="1" si="28"/>
        <v>0</v>
      </c>
      <c r="D225" s="155">
        <f t="shared" ca="1" si="29"/>
        <v>217</v>
      </c>
      <c r="E225" s="209">
        <f t="shared" ca="1" si="24"/>
        <v>1</v>
      </c>
      <c r="F225" s="10">
        <f t="shared" ca="1" si="30"/>
        <v>52885</v>
      </c>
      <c r="G225" s="156">
        <f t="shared" ca="1" si="31"/>
        <v>222566.29804610327</v>
      </c>
      <c r="H225" s="156">
        <f ca="1">SUM($G$8:G225)*gamma</f>
        <v>764265.81909023074</v>
      </c>
      <c r="I225" s="23">
        <f ca="1">MAX(0,ROUND($I$7-$H$7-H225-SUM($G$8:G225),0))</f>
        <v>0</v>
      </c>
      <c r="J225" s="208">
        <f t="shared" ca="1" si="25"/>
        <v>217</v>
      </c>
    </row>
    <row r="226" spans="1:10" ht="15.75" customHeight="1" thickBot="1">
      <c r="A226" s="237">
        <f t="shared" ca="1" si="26"/>
        <v>52916</v>
      </c>
      <c r="B226" s="238">
        <f t="shared" ca="1" si="27"/>
        <v>222566</v>
      </c>
      <c r="C226" s="238">
        <f t="shared" ca="1" si="28"/>
        <v>0</v>
      </c>
      <c r="D226" s="155">
        <f t="shared" ca="1" si="29"/>
        <v>218</v>
      </c>
      <c r="E226" s="209">
        <f t="shared" ca="1" si="24"/>
        <v>2</v>
      </c>
      <c r="F226" s="10">
        <f t="shared" ca="1" si="30"/>
        <v>52916</v>
      </c>
      <c r="G226" s="156">
        <f t="shared" ca="1" si="31"/>
        <v>222566.29804610327</v>
      </c>
      <c r="H226" s="156">
        <f ca="1">SUM($G$8:G226)*gamma</f>
        <v>770942.80803161382</v>
      </c>
      <c r="I226" s="23">
        <f ca="1">MAX(0,ROUND($I$7-$H$7-H226-SUM($G$8:G226),0))</f>
        <v>0</v>
      </c>
      <c r="J226" s="208">
        <f t="shared" ca="1" si="25"/>
        <v>218</v>
      </c>
    </row>
    <row r="227" spans="1:10" ht="15.75" customHeight="1" thickBot="1">
      <c r="A227" s="237">
        <f t="shared" ca="1" si="26"/>
        <v>52946</v>
      </c>
      <c r="B227" s="238">
        <f t="shared" ca="1" si="27"/>
        <v>222566</v>
      </c>
      <c r="C227" s="238">
        <f t="shared" ca="1" si="28"/>
        <v>0</v>
      </c>
      <c r="D227" s="155">
        <f t="shared" ca="1" si="29"/>
        <v>219</v>
      </c>
      <c r="E227" s="209">
        <f t="shared" ca="1" si="24"/>
        <v>3</v>
      </c>
      <c r="F227" s="10">
        <f t="shared" ca="1" si="30"/>
        <v>52946</v>
      </c>
      <c r="G227" s="156">
        <f t="shared" ca="1" si="31"/>
        <v>222566.29804610327</v>
      </c>
      <c r="H227" s="156">
        <f ca="1">SUM($G$8:G227)*gamma</f>
        <v>777619.79697299702</v>
      </c>
      <c r="I227" s="23">
        <f ca="1">MAX(0,ROUND($I$7-$H$7-H227-SUM($G$8:G227),0))</f>
        <v>0</v>
      </c>
      <c r="J227" s="208">
        <f t="shared" ca="1" si="25"/>
        <v>219</v>
      </c>
    </row>
    <row r="228" spans="1:10" ht="15.75" customHeight="1" thickBot="1">
      <c r="A228" s="237">
        <f t="shared" ca="1" si="26"/>
        <v>52977</v>
      </c>
      <c r="B228" s="238">
        <f t="shared" ca="1" si="27"/>
        <v>222566</v>
      </c>
      <c r="C228" s="238">
        <f t="shared" ca="1" si="28"/>
        <v>0</v>
      </c>
      <c r="D228" s="155">
        <f t="shared" ca="1" si="29"/>
        <v>220</v>
      </c>
      <c r="E228" s="209">
        <f t="shared" ca="1" si="24"/>
        <v>4</v>
      </c>
      <c r="F228" s="10">
        <f t="shared" ca="1" si="30"/>
        <v>52977</v>
      </c>
      <c r="G228" s="156">
        <f t="shared" ca="1" si="31"/>
        <v>222566.29804610327</v>
      </c>
      <c r="H228" s="156">
        <f ca="1">SUM($G$8:G228)*gamma</f>
        <v>784296.7859143801</v>
      </c>
      <c r="I228" s="23">
        <f ca="1">MAX(0,ROUND($I$7-$H$7-H228-SUM($G$8:G228),0))</f>
        <v>0</v>
      </c>
      <c r="J228" s="208">
        <f t="shared" ca="1" si="25"/>
        <v>220</v>
      </c>
    </row>
    <row r="229" spans="1:10" ht="15.75" customHeight="1" thickBot="1">
      <c r="A229" s="237">
        <f t="shared" ca="1" si="26"/>
        <v>53008</v>
      </c>
      <c r="B229" s="238">
        <f t="shared" ca="1" si="27"/>
        <v>222566</v>
      </c>
      <c r="C229" s="238">
        <f t="shared" ca="1" si="28"/>
        <v>0</v>
      </c>
      <c r="D229" s="155">
        <f t="shared" ca="1" si="29"/>
        <v>221</v>
      </c>
      <c r="E229" s="209">
        <f t="shared" ca="1" si="24"/>
        <v>5</v>
      </c>
      <c r="F229" s="10">
        <f t="shared" ca="1" si="30"/>
        <v>53008</v>
      </c>
      <c r="G229" s="156">
        <f t="shared" ca="1" si="31"/>
        <v>222566.29804610327</v>
      </c>
      <c r="H229" s="156">
        <f ca="1">SUM($G$8:G229)*gamma</f>
        <v>790973.7748557633</v>
      </c>
      <c r="I229" s="23">
        <f ca="1">MAX(0,ROUND($I$7-$H$7-H229-SUM($G$8:G229),0))</f>
        <v>0</v>
      </c>
      <c r="J229" s="208">
        <f t="shared" ca="1" si="25"/>
        <v>221</v>
      </c>
    </row>
    <row r="230" spans="1:10" ht="15.75" customHeight="1" thickBot="1">
      <c r="A230" s="237">
        <f t="shared" ca="1" si="26"/>
        <v>53036</v>
      </c>
      <c r="B230" s="238">
        <f t="shared" ca="1" si="27"/>
        <v>222566</v>
      </c>
      <c r="C230" s="238">
        <f t="shared" ca="1" si="28"/>
        <v>0</v>
      </c>
      <c r="D230" s="155">
        <f t="shared" ca="1" si="29"/>
        <v>222</v>
      </c>
      <c r="E230" s="209">
        <f t="shared" ca="1" si="24"/>
        <v>6</v>
      </c>
      <c r="F230" s="10">
        <f t="shared" ca="1" si="30"/>
        <v>53036</v>
      </c>
      <c r="G230" s="156">
        <f t="shared" ca="1" si="31"/>
        <v>222566.29804610327</v>
      </c>
      <c r="H230" s="156">
        <f ca="1">SUM($G$8:G230)*gamma</f>
        <v>797650.76379714638</v>
      </c>
      <c r="I230" s="23">
        <f ca="1">MAX(0,ROUND($I$7-$H$7-H230-SUM($G$8:G230),0))</f>
        <v>0</v>
      </c>
      <c r="J230" s="208">
        <f t="shared" ca="1" si="25"/>
        <v>222</v>
      </c>
    </row>
    <row r="231" spans="1:10" ht="15.75" customHeight="1" thickBot="1">
      <c r="A231" s="237">
        <f t="shared" ca="1" si="26"/>
        <v>53067</v>
      </c>
      <c r="B231" s="238">
        <f t="shared" ca="1" si="27"/>
        <v>222566</v>
      </c>
      <c r="C231" s="238">
        <f t="shared" ca="1" si="28"/>
        <v>0</v>
      </c>
      <c r="D231" s="155">
        <f t="shared" ca="1" si="29"/>
        <v>223</v>
      </c>
      <c r="E231" s="209">
        <f t="shared" ca="1" si="24"/>
        <v>7</v>
      </c>
      <c r="F231" s="10">
        <f t="shared" ca="1" si="30"/>
        <v>53067</v>
      </c>
      <c r="G231" s="156">
        <f t="shared" ca="1" si="31"/>
        <v>222566.29804610327</v>
      </c>
      <c r="H231" s="156">
        <f ca="1">SUM($G$8:G231)*gamma</f>
        <v>804327.75273852958</v>
      </c>
      <c r="I231" s="23">
        <f ca="1">MAX(0,ROUND($I$7-$H$7-H231-SUM($G$8:G231),0))</f>
        <v>0</v>
      </c>
      <c r="J231" s="208">
        <f t="shared" ca="1" si="25"/>
        <v>223</v>
      </c>
    </row>
    <row r="232" spans="1:10" ht="15.75" customHeight="1" thickBot="1">
      <c r="A232" s="237">
        <f t="shared" ca="1" si="26"/>
        <v>53097</v>
      </c>
      <c r="B232" s="238">
        <f t="shared" ca="1" si="27"/>
        <v>222566</v>
      </c>
      <c r="C232" s="238">
        <f t="shared" ca="1" si="28"/>
        <v>0</v>
      </c>
      <c r="D232" s="155">
        <f t="shared" ca="1" si="29"/>
        <v>224</v>
      </c>
      <c r="E232" s="209">
        <f t="shared" ca="1" si="24"/>
        <v>8</v>
      </c>
      <c r="F232" s="10">
        <f t="shared" ca="1" si="30"/>
        <v>53097</v>
      </c>
      <c r="G232" s="156">
        <f t="shared" ca="1" si="31"/>
        <v>222566.29804610327</v>
      </c>
      <c r="H232" s="156">
        <f ca="1">SUM($G$8:G232)*gamma</f>
        <v>811004.74167991267</v>
      </c>
      <c r="I232" s="23">
        <f ca="1">MAX(0,ROUND($I$7-$H$7-H232-SUM($G$8:G232),0))</f>
        <v>0</v>
      </c>
      <c r="J232" s="208">
        <f t="shared" ca="1" si="25"/>
        <v>224</v>
      </c>
    </row>
    <row r="233" spans="1:10" ht="15.75" customHeight="1" thickBot="1">
      <c r="A233" s="237">
        <f t="shared" ca="1" si="26"/>
        <v>53128</v>
      </c>
      <c r="B233" s="238">
        <f t="shared" ca="1" si="27"/>
        <v>222566</v>
      </c>
      <c r="C233" s="238">
        <f t="shared" ca="1" si="28"/>
        <v>0</v>
      </c>
      <c r="D233" s="155">
        <f t="shared" ca="1" si="29"/>
        <v>225</v>
      </c>
      <c r="E233" s="209">
        <f t="shared" ca="1" si="24"/>
        <v>9</v>
      </c>
      <c r="F233" s="10">
        <f t="shared" ca="1" si="30"/>
        <v>53128</v>
      </c>
      <c r="G233" s="156">
        <f t="shared" ca="1" si="31"/>
        <v>222566.29804610327</v>
      </c>
      <c r="H233" s="156">
        <f ca="1">SUM($G$8:G233)*gamma</f>
        <v>817681.73062129586</v>
      </c>
      <c r="I233" s="23">
        <f ca="1">MAX(0,ROUND($I$7-$H$7-H233-SUM($G$8:G233),0))</f>
        <v>0</v>
      </c>
      <c r="J233" s="208">
        <f t="shared" ca="1" si="25"/>
        <v>225</v>
      </c>
    </row>
    <row r="234" spans="1:10" ht="15.75" customHeight="1" thickBot="1">
      <c r="A234" s="237">
        <f t="shared" ca="1" si="26"/>
        <v>53158</v>
      </c>
      <c r="B234" s="238">
        <f t="shared" ca="1" si="27"/>
        <v>222566</v>
      </c>
      <c r="C234" s="238">
        <f t="shared" ca="1" si="28"/>
        <v>0</v>
      </c>
      <c r="D234" s="155">
        <f t="shared" ca="1" si="29"/>
        <v>226</v>
      </c>
      <c r="E234" s="209">
        <f t="shared" ca="1" si="24"/>
        <v>10</v>
      </c>
      <c r="F234" s="10">
        <f t="shared" ca="1" si="30"/>
        <v>53158</v>
      </c>
      <c r="G234" s="156">
        <f t="shared" ca="1" si="31"/>
        <v>222566.29804610327</v>
      </c>
      <c r="H234" s="156">
        <f ca="1">SUM($G$8:G234)*gamma</f>
        <v>824358.71956267895</v>
      </c>
      <c r="I234" s="23">
        <f ca="1">MAX(0,ROUND($I$7-$H$7-H234-SUM($G$8:G234),0))</f>
        <v>0</v>
      </c>
      <c r="J234" s="208">
        <f t="shared" ca="1" si="25"/>
        <v>226</v>
      </c>
    </row>
    <row r="235" spans="1:10" ht="15.75" customHeight="1" thickBot="1">
      <c r="A235" s="237">
        <f t="shared" ca="1" si="26"/>
        <v>53189</v>
      </c>
      <c r="B235" s="238">
        <f t="shared" ca="1" si="27"/>
        <v>222566</v>
      </c>
      <c r="C235" s="238">
        <f t="shared" ca="1" si="28"/>
        <v>0</v>
      </c>
      <c r="D235" s="155">
        <f t="shared" ca="1" si="29"/>
        <v>227</v>
      </c>
      <c r="E235" s="209">
        <f t="shared" ca="1" si="24"/>
        <v>11</v>
      </c>
      <c r="F235" s="10">
        <f t="shared" ca="1" si="30"/>
        <v>53189</v>
      </c>
      <c r="G235" s="156">
        <f t="shared" ca="1" si="31"/>
        <v>222566.29804610327</v>
      </c>
      <c r="H235" s="156">
        <f ca="1">SUM($G$8:G235)*gamma</f>
        <v>831035.70850406215</v>
      </c>
      <c r="I235" s="23">
        <f ca="1">MAX(0,ROUND($I$7-$H$7-H235-SUM($G$8:G235),0))</f>
        <v>0</v>
      </c>
      <c r="J235" s="208">
        <f t="shared" ca="1" si="25"/>
        <v>227</v>
      </c>
    </row>
    <row r="236" spans="1:10" ht="15.75" customHeight="1" thickBot="1">
      <c r="A236" s="237">
        <f t="shared" ca="1" si="26"/>
        <v>53220</v>
      </c>
      <c r="B236" s="238">
        <f t="shared" ca="1" si="27"/>
        <v>240372</v>
      </c>
      <c r="C236" s="238">
        <f t="shared" ca="1" si="28"/>
        <v>0</v>
      </c>
      <c r="D236" s="155">
        <f t="shared" ca="1" si="29"/>
        <v>228</v>
      </c>
      <c r="E236" s="209">
        <f t="shared" ca="1" si="24"/>
        <v>0</v>
      </c>
      <c r="F236" s="10">
        <f t="shared" ca="1" si="30"/>
        <v>53220</v>
      </c>
      <c r="G236" s="156">
        <f t="shared" ca="1" si="31"/>
        <v>240371.60188979155</v>
      </c>
      <c r="H236" s="156">
        <f ca="1">SUM($G$8:G236)*gamma</f>
        <v>838246.85656075587</v>
      </c>
      <c r="I236" s="23">
        <f ca="1">MAX(0,ROUND($I$7-$H$7-H236-SUM($G$8:G236),0))</f>
        <v>0</v>
      </c>
      <c r="J236" s="208">
        <f t="shared" ca="1" si="25"/>
        <v>228</v>
      </c>
    </row>
    <row r="237" spans="1:10" ht="15.75" customHeight="1" thickBot="1">
      <c r="A237" s="237">
        <f t="shared" ca="1" si="26"/>
        <v>53250</v>
      </c>
      <c r="B237" s="238">
        <f t="shared" ca="1" si="27"/>
        <v>240372</v>
      </c>
      <c r="C237" s="238">
        <f t="shared" ca="1" si="28"/>
        <v>0</v>
      </c>
      <c r="D237" s="155">
        <f t="shared" ca="1" si="29"/>
        <v>229</v>
      </c>
      <c r="E237" s="209">
        <f t="shared" ca="1" si="24"/>
        <v>1</v>
      </c>
      <c r="F237" s="10">
        <f t="shared" ca="1" si="30"/>
        <v>53250</v>
      </c>
      <c r="G237" s="156">
        <f t="shared" ca="1" si="31"/>
        <v>240371.60188979155</v>
      </c>
      <c r="H237" s="156">
        <f ca="1">SUM($G$8:G237)*gamma</f>
        <v>845458.00461744971</v>
      </c>
      <c r="I237" s="23">
        <f ca="1">MAX(0,ROUND($I$7-$H$7-H237-SUM($G$8:G237),0))</f>
        <v>0</v>
      </c>
      <c r="J237" s="208">
        <f t="shared" ca="1" si="25"/>
        <v>229</v>
      </c>
    </row>
    <row r="238" spans="1:10" ht="15.75" customHeight="1" thickBot="1">
      <c r="A238" s="237">
        <f t="shared" ca="1" si="26"/>
        <v>53281</v>
      </c>
      <c r="B238" s="238">
        <f t="shared" ca="1" si="27"/>
        <v>240372</v>
      </c>
      <c r="C238" s="238">
        <f t="shared" ca="1" si="28"/>
        <v>0</v>
      </c>
      <c r="D238" s="155">
        <f t="shared" ca="1" si="29"/>
        <v>230</v>
      </c>
      <c r="E238" s="209">
        <f t="shared" ca="1" si="24"/>
        <v>2</v>
      </c>
      <c r="F238" s="10">
        <f t="shared" ca="1" si="30"/>
        <v>53281</v>
      </c>
      <c r="G238" s="156">
        <f t="shared" ca="1" si="31"/>
        <v>240371.60188979155</v>
      </c>
      <c r="H238" s="156">
        <f ca="1">SUM($G$8:G238)*gamma</f>
        <v>852669.15267414344</v>
      </c>
      <c r="I238" s="23">
        <f ca="1">MAX(0,ROUND($I$7-$H$7-H238-SUM($G$8:G238),0))</f>
        <v>0</v>
      </c>
      <c r="J238" s="208">
        <f t="shared" ca="1" si="25"/>
        <v>230</v>
      </c>
    </row>
    <row r="239" spans="1:10" ht="15.75" customHeight="1" thickBot="1">
      <c r="A239" s="237">
        <f t="shared" ca="1" si="26"/>
        <v>53311</v>
      </c>
      <c r="B239" s="238">
        <f t="shared" ca="1" si="27"/>
        <v>240372</v>
      </c>
      <c r="C239" s="238">
        <f t="shared" ca="1" si="28"/>
        <v>0</v>
      </c>
      <c r="D239" s="155">
        <f t="shared" ca="1" si="29"/>
        <v>231</v>
      </c>
      <c r="E239" s="209">
        <f t="shared" ca="1" si="24"/>
        <v>3</v>
      </c>
      <c r="F239" s="10">
        <f t="shared" ca="1" si="30"/>
        <v>53311</v>
      </c>
      <c r="G239" s="156">
        <f t="shared" ca="1" si="31"/>
        <v>240371.60188979155</v>
      </c>
      <c r="H239" s="156">
        <f ca="1">SUM($G$8:G239)*gamma</f>
        <v>859880.30073083728</v>
      </c>
      <c r="I239" s="23">
        <f ca="1">MAX(0,ROUND($I$7-$H$7-H239-SUM($G$8:G239),0))</f>
        <v>0</v>
      </c>
      <c r="J239" s="208">
        <f t="shared" ca="1" si="25"/>
        <v>231</v>
      </c>
    </row>
    <row r="240" spans="1:10" ht="15.75" customHeight="1" thickBot="1">
      <c r="A240" s="237">
        <f t="shared" ca="1" si="26"/>
        <v>53342</v>
      </c>
      <c r="B240" s="238">
        <f t="shared" ca="1" si="27"/>
        <v>240372</v>
      </c>
      <c r="C240" s="238">
        <f t="shared" ca="1" si="28"/>
        <v>0</v>
      </c>
      <c r="D240" s="155">
        <f t="shared" ca="1" si="29"/>
        <v>232</v>
      </c>
      <c r="E240" s="209">
        <f t="shared" ca="1" si="24"/>
        <v>4</v>
      </c>
      <c r="F240" s="10">
        <f t="shared" ca="1" si="30"/>
        <v>53342</v>
      </c>
      <c r="G240" s="156">
        <f t="shared" ca="1" si="31"/>
        <v>240371.60188979155</v>
      </c>
      <c r="H240" s="156">
        <f ca="1">SUM($G$8:G240)*gamma</f>
        <v>867091.448787531</v>
      </c>
      <c r="I240" s="23">
        <f ca="1">MAX(0,ROUND($I$7-$H$7-H240-SUM($G$8:G240),0))</f>
        <v>0</v>
      </c>
      <c r="J240" s="208">
        <f t="shared" ca="1" si="25"/>
        <v>232</v>
      </c>
    </row>
    <row r="241" spans="1:10" ht="15.75" customHeight="1" thickBot="1">
      <c r="A241" s="237">
        <f t="shared" ca="1" si="26"/>
        <v>53373</v>
      </c>
      <c r="B241" s="238">
        <f t="shared" ca="1" si="27"/>
        <v>240372</v>
      </c>
      <c r="C241" s="238">
        <f t="shared" ca="1" si="28"/>
        <v>0</v>
      </c>
      <c r="D241" s="155">
        <f t="shared" ca="1" si="29"/>
        <v>233</v>
      </c>
      <c r="E241" s="209">
        <f t="shared" ca="1" si="24"/>
        <v>5</v>
      </c>
      <c r="F241" s="10">
        <f t="shared" ca="1" si="30"/>
        <v>53373</v>
      </c>
      <c r="G241" s="156">
        <f t="shared" ca="1" si="31"/>
        <v>240371.60188979155</v>
      </c>
      <c r="H241" s="156">
        <f ca="1">SUM($G$8:G241)*gamma</f>
        <v>874302.59684422484</v>
      </c>
      <c r="I241" s="23">
        <f ca="1">MAX(0,ROUND($I$7-$H$7-H241-SUM($G$8:G241),0))</f>
        <v>0</v>
      </c>
      <c r="J241" s="208">
        <f t="shared" ca="1" si="25"/>
        <v>233</v>
      </c>
    </row>
    <row r="242" spans="1:10" ht="15.75" customHeight="1" thickBot="1">
      <c r="A242" s="237">
        <f t="shared" ca="1" si="26"/>
        <v>53401</v>
      </c>
      <c r="B242" s="238">
        <f t="shared" ca="1" si="27"/>
        <v>240372</v>
      </c>
      <c r="C242" s="238">
        <f t="shared" ca="1" si="28"/>
        <v>0</v>
      </c>
      <c r="D242" s="155">
        <f t="shared" ca="1" si="29"/>
        <v>234</v>
      </c>
      <c r="E242" s="209">
        <f t="shared" ca="1" si="24"/>
        <v>6</v>
      </c>
      <c r="F242" s="10">
        <f t="shared" ca="1" si="30"/>
        <v>53401</v>
      </c>
      <c r="G242" s="156">
        <f t="shared" ca="1" si="31"/>
        <v>240371.60188979155</v>
      </c>
      <c r="H242" s="156">
        <f ca="1">SUM($G$8:G242)*gamma</f>
        <v>881513.74490091857</v>
      </c>
      <c r="I242" s="23">
        <f ca="1">MAX(0,ROUND($I$7-$H$7-H242-SUM($G$8:G242),0))</f>
        <v>0</v>
      </c>
      <c r="J242" s="208">
        <f t="shared" ca="1" si="25"/>
        <v>234</v>
      </c>
    </row>
    <row r="243" spans="1:10" ht="15.75" customHeight="1" thickBot="1">
      <c r="A243" s="237">
        <f t="shared" ca="1" si="26"/>
        <v>53432</v>
      </c>
      <c r="B243" s="238">
        <f t="shared" ca="1" si="27"/>
        <v>240372</v>
      </c>
      <c r="C243" s="238">
        <f t="shared" ca="1" si="28"/>
        <v>0</v>
      </c>
      <c r="D243" s="155">
        <f t="shared" ca="1" si="29"/>
        <v>235</v>
      </c>
      <c r="E243" s="209">
        <f t="shared" ca="1" si="24"/>
        <v>7</v>
      </c>
      <c r="F243" s="10">
        <f t="shared" ca="1" si="30"/>
        <v>53432</v>
      </c>
      <c r="G243" s="156">
        <f t="shared" ca="1" si="31"/>
        <v>240371.60188979155</v>
      </c>
      <c r="H243" s="156">
        <f ca="1">SUM($G$8:G243)*gamma</f>
        <v>888724.89295761241</v>
      </c>
      <c r="I243" s="23">
        <f ca="1">MAX(0,ROUND($I$7-$H$7-H243-SUM($G$8:G243),0))</f>
        <v>0</v>
      </c>
      <c r="J243" s="208">
        <f t="shared" ca="1" si="25"/>
        <v>235</v>
      </c>
    </row>
    <row r="244" spans="1:10" ht="15.75" customHeight="1" thickBot="1">
      <c r="A244" s="237">
        <f t="shared" ca="1" si="26"/>
        <v>53462</v>
      </c>
      <c r="B244" s="238">
        <f t="shared" ca="1" si="27"/>
        <v>240372</v>
      </c>
      <c r="C244" s="238">
        <f t="shared" ca="1" si="28"/>
        <v>0</v>
      </c>
      <c r="D244" s="155">
        <f t="shared" ca="1" si="29"/>
        <v>236</v>
      </c>
      <c r="E244" s="209">
        <f t="shared" ca="1" si="24"/>
        <v>8</v>
      </c>
      <c r="F244" s="10">
        <f t="shared" ca="1" si="30"/>
        <v>53462</v>
      </c>
      <c r="G244" s="156">
        <f t="shared" ca="1" si="31"/>
        <v>240371.60188979155</v>
      </c>
      <c r="H244" s="156">
        <f ca="1">SUM($G$8:G244)*gamma</f>
        <v>895936.04101430613</v>
      </c>
      <c r="I244" s="23">
        <f ca="1">MAX(0,ROUND($I$7-$H$7-H244-SUM($G$8:G244),0))</f>
        <v>0</v>
      </c>
      <c r="J244" s="208">
        <f t="shared" ca="1" si="25"/>
        <v>236</v>
      </c>
    </row>
    <row r="245" spans="1:10" ht="15.75" customHeight="1" thickBot="1">
      <c r="A245" s="237">
        <f t="shared" ca="1" si="26"/>
        <v>53493</v>
      </c>
      <c r="B245" s="238">
        <f t="shared" ca="1" si="27"/>
        <v>240372</v>
      </c>
      <c r="C245" s="238">
        <f t="shared" ca="1" si="28"/>
        <v>0</v>
      </c>
      <c r="D245" s="155">
        <f t="shared" ca="1" si="29"/>
        <v>237</v>
      </c>
      <c r="E245" s="209">
        <f t="shared" ca="1" si="24"/>
        <v>9</v>
      </c>
      <c r="F245" s="10">
        <f t="shared" ca="1" si="30"/>
        <v>53493</v>
      </c>
      <c r="G245" s="156">
        <f t="shared" ca="1" si="31"/>
        <v>240371.60188979155</v>
      </c>
      <c r="H245" s="156">
        <f ca="1">SUM($G$8:G245)*gamma</f>
        <v>903147.18907099997</v>
      </c>
      <c r="I245" s="23">
        <f ca="1">MAX(0,ROUND($I$7-$H$7-H245-SUM($G$8:G245),0))</f>
        <v>0</v>
      </c>
      <c r="J245" s="208">
        <f t="shared" ca="1" si="25"/>
        <v>237</v>
      </c>
    </row>
    <row r="246" spans="1:10" ht="15.75" customHeight="1" thickBot="1">
      <c r="A246" s="237">
        <f t="shared" ca="1" si="26"/>
        <v>53523</v>
      </c>
      <c r="B246" s="238">
        <f t="shared" ca="1" si="27"/>
        <v>240372</v>
      </c>
      <c r="C246" s="238">
        <f t="shared" ca="1" si="28"/>
        <v>0</v>
      </c>
      <c r="D246" s="155">
        <f t="shared" ca="1" si="29"/>
        <v>238</v>
      </c>
      <c r="E246" s="209">
        <f t="shared" ca="1" si="24"/>
        <v>10</v>
      </c>
      <c r="F246" s="10">
        <f t="shared" ca="1" si="30"/>
        <v>53523</v>
      </c>
      <c r="G246" s="156">
        <f t="shared" ca="1" si="31"/>
        <v>240371.60188979155</v>
      </c>
      <c r="H246" s="156">
        <f ca="1">SUM($G$8:G246)*gamma</f>
        <v>910358.3371276937</v>
      </c>
      <c r="I246" s="23">
        <f ca="1">MAX(0,ROUND($I$7-$H$7-H246-SUM($G$8:G246),0))</f>
        <v>0</v>
      </c>
      <c r="J246" s="208">
        <f t="shared" ca="1" si="25"/>
        <v>238</v>
      </c>
    </row>
    <row r="247" spans="1:10" ht="15.75" customHeight="1" thickBot="1">
      <c r="A247" s="237">
        <f t="shared" ca="1" si="26"/>
        <v>53554</v>
      </c>
      <c r="B247" s="238">
        <f t="shared" ca="1" si="27"/>
        <v>240372</v>
      </c>
      <c r="C247" s="238">
        <f t="shared" ca="1" si="28"/>
        <v>0</v>
      </c>
      <c r="D247" s="155">
        <f t="shared" ca="1" si="29"/>
        <v>239</v>
      </c>
      <c r="E247" s="209">
        <f t="shared" ca="1" si="24"/>
        <v>11</v>
      </c>
      <c r="F247" s="10">
        <f t="shared" ca="1" si="30"/>
        <v>53554</v>
      </c>
      <c r="G247" s="156">
        <f t="shared" ca="1" si="31"/>
        <v>240371.60188979155</v>
      </c>
      <c r="H247" s="156">
        <f ca="1">SUM($G$8:G247)*gamma</f>
        <v>917569.48518438754</v>
      </c>
      <c r="I247" s="23">
        <f ca="1">MAX(0,ROUND($I$7-$H$7-H247-SUM($G$8:G247),0))</f>
        <v>0</v>
      </c>
      <c r="J247" s="208">
        <f t="shared" ca="1" si="25"/>
        <v>239</v>
      </c>
    </row>
    <row r="248" spans="1:10" ht="15.75" customHeight="1" thickBot="1">
      <c r="A248" s="237">
        <f t="shared" ca="1" si="26"/>
        <v>53585</v>
      </c>
      <c r="B248" s="238">
        <f t="shared" ca="1" si="27"/>
        <v>259601</v>
      </c>
      <c r="C248" s="238">
        <f t="shared" ca="1" si="28"/>
        <v>0</v>
      </c>
      <c r="D248" s="155">
        <f t="shared" ca="1" si="29"/>
        <v>240</v>
      </c>
      <c r="E248" s="209">
        <f t="shared" ca="1" si="24"/>
        <v>0</v>
      </c>
      <c r="F248" s="10">
        <f t="shared" ca="1" si="30"/>
        <v>53585</v>
      </c>
      <c r="G248" s="156">
        <f t="shared" ca="1" si="31"/>
        <v>259601.33004097489</v>
      </c>
      <c r="H248" s="156">
        <f ca="1">SUM($G$8:G248)*gamma</f>
        <v>925357.52508561686</v>
      </c>
      <c r="I248" s="23">
        <f ca="1">MAX(0,ROUND($I$7-$H$7-H248-SUM($G$8:G248),0))</f>
        <v>0</v>
      </c>
      <c r="J248" s="208">
        <f t="shared" ca="1" si="25"/>
        <v>240</v>
      </c>
    </row>
    <row r="249" spans="1:10" ht="15.75" customHeight="1" thickBot="1">
      <c r="A249" s="237">
        <f t="shared" ca="1" si="26"/>
        <v>53615</v>
      </c>
      <c r="B249" s="238">
        <f t="shared" ca="1" si="27"/>
        <v>259601</v>
      </c>
      <c r="C249" s="238">
        <f t="shared" ca="1" si="28"/>
        <v>0</v>
      </c>
      <c r="D249" s="155">
        <f t="shared" ca="1" si="29"/>
        <v>241</v>
      </c>
      <c r="E249" s="209">
        <f t="shared" ca="1" si="24"/>
        <v>1</v>
      </c>
      <c r="F249" s="10">
        <f t="shared" ca="1" si="30"/>
        <v>53615</v>
      </c>
      <c r="G249" s="156">
        <f t="shared" ca="1" si="31"/>
        <v>259601.33004097489</v>
      </c>
      <c r="H249" s="156">
        <f ca="1">SUM($G$8:G249)*gamma</f>
        <v>933145.56498684606</v>
      </c>
      <c r="I249" s="23">
        <f ca="1">MAX(0,ROUND($I$7-$H$7-H249-SUM($G$8:G249),0))</f>
        <v>0</v>
      </c>
      <c r="J249" s="208">
        <f t="shared" ca="1" si="25"/>
        <v>241</v>
      </c>
    </row>
    <row r="250" spans="1:10" ht="15.75" customHeight="1" thickBot="1">
      <c r="A250" s="237">
        <f t="shared" ca="1" si="26"/>
        <v>53646</v>
      </c>
      <c r="B250" s="238">
        <f t="shared" ca="1" si="27"/>
        <v>259601</v>
      </c>
      <c r="C250" s="238">
        <f t="shared" ca="1" si="28"/>
        <v>0</v>
      </c>
      <c r="D250" s="155">
        <f t="shared" ca="1" si="29"/>
        <v>242</v>
      </c>
      <c r="E250" s="209">
        <f t="shared" ca="1" si="24"/>
        <v>2</v>
      </c>
      <c r="F250" s="10">
        <f t="shared" ca="1" si="30"/>
        <v>53646</v>
      </c>
      <c r="G250" s="156">
        <f t="shared" ca="1" si="31"/>
        <v>259601.33004097489</v>
      </c>
      <c r="H250" s="156">
        <f ca="1">SUM($G$8:G250)*gamma</f>
        <v>940933.60488807538</v>
      </c>
      <c r="I250" s="23">
        <f ca="1">MAX(0,ROUND($I$7-$H$7-H250-SUM($G$8:G250),0))</f>
        <v>0</v>
      </c>
      <c r="J250" s="208">
        <f t="shared" ca="1" si="25"/>
        <v>242</v>
      </c>
    </row>
    <row r="251" spans="1:10" ht="15.75" customHeight="1" thickBot="1">
      <c r="A251" s="237">
        <f t="shared" ca="1" si="26"/>
        <v>53676</v>
      </c>
      <c r="B251" s="238">
        <f t="shared" ca="1" si="27"/>
        <v>259601</v>
      </c>
      <c r="C251" s="238">
        <f t="shared" ca="1" si="28"/>
        <v>0</v>
      </c>
      <c r="D251" s="155">
        <f t="shared" ca="1" si="29"/>
        <v>243</v>
      </c>
      <c r="E251" s="209">
        <f t="shared" ca="1" si="24"/>
        <v>3</v>
      </c>
      <c r="F251" s="10">
        <f t="shared" ca="1" si="30"/>
        <v>53676</v>
      </c>
      <c r="G251" s="156">
        <f t="shared" ca="1" si="31"/>
        <v>259601.33004097489</v>
      </c>
      <c r="H251" s="156">
        <f ca="1">SUM($G$8:G251)*gamma</f>
        <v>948721.6447893047</v>
      </c>
      <c r="I251" s="23">
        <f ca="1">MAX(0,ROUND($I$7-$H$7-H251-SUM($G$8:G251),0))</f>
        <v>0</v>
      </c>
      <c r="J251" s="208">
        <f t="shared" ca="1" si="25"/>
        <v>243</v>
      </c>
    </row>
    <row r="252" spans="1:10" ht="15.75" customHeight="1" thickBot="1">
      <c r="A252" s="237">
        <f t="shared" ca="1" si="26"/>
        <v>53707</v>
      </c>
      <c r="B252" s="238">
        <f t="shared" ca="1" si="27"/>
        <v>259601</v>
      </c>
      <c r="C252" s="238">
        <f t="shared" ca="1" si="28"/>
        <v>0</v>
      </c>
      <c r="D252" s="155">
        <f t="shared" ca="1" si="29"/>
        <v>244</v>
      </c>
      <c r="E252" s="209">
        <f t="shared" ca="1" si="24"/>
        <v>4</v>
      </c>
      <c r="F252" s="10">
        <f t="shared" ca="1" si="30"/>
        <v>53707</v>
      </c>
      <c r="G252" s="156">
        <f t="shared" ca="1" si="31"/>
        <v>259601.33004097489</v>
      </c>
      <c r="H252" s="156">
        <f ca="1">SUM($G$8:G252)*gamma</f>
        <v>956509.68469053402</v>
      </c>
      <c r="I252" s="23">
        <f ca="1">MAX(0,ROUND($I$7-$H$7-H252-SUM($G$8:G252),0))</f>
        <v>0</v>
      </c>
      <c r="J252" s="208">
        <f t="shared" ca="1" si="25"/>
        <v>244</v>
      </c>
    </row>
    <row r="253" spans="1:10" ht="15.75" customHeight="1" thickBot="1">
      <c r="A253" s="237">
        <f t="shared" ca="1" si="26"/>
        <v>53738</v>
      </c>
      <c r="B253" s="238">
        <f t="shared" ca="1" si="27"/>
        <v>259601</v>
      </c>
      <c r="C253" s="238">
        <f t="shared" ca="1" si="28"/>
        <v>0</v>
      </c>
      <c r="D253" s="155">
        <f t="shared" ca="1" si="29"/>
        <v>245</v>
      </c>
      <c r="E253" s="209">
        <f t="shared" ca="1" si="24"/>
        <v>5</v>
      </c>
      <c r="F253" s="10">
        <f t="shared" ca="1" si="30"/>
        <v>53738</v>
      </c>
      <c r="G253" s="156">
        <f t="shared" ca="1" si="31"/>
        <v>259601.33004097489</v>
      </c>
      <c r="H253" s="156">
        <f ca="1">SUM($G$8:G253)*gamma</f>
        <v>964297.72459176322</v>
      </c>
      <c r="I253" s="23">
        <f ca="1">MAX(0,ROUND($I$7-$H$7-H253-SUM($G$8:G253),0))</f>
        <v>0</v>
      </c>
      <c r="J253" s="208">
        <f t="shared" ca="1" si="25"/>
        <v>245</v>
      </c>
    </row>
    <row r="254" spans="1:10" ht="15.75" customHeight="1" thickBot="1">
      <c r="A254" s="237">
        <f t="shared" ca="1" si="26"/>
        <v>53766</v>
      </c>
      <c r="B254" s="238">
        <f t="shared" ca="1" si="27"/>
        <v>259601</v>
      </c>
      <c r="C254" s="238">
        <f t="shared" ca="1" si="28"/>
        <v>0</v>
      </c>
      <c r="D254" s="155">
        <f t="shared" ca="1" si="29"/>
        <v>246</v>
      </c>
      <c r="E254" s="209">
        <f t="shared" ca="1" si="24"/>
        <v>6</v>
      </c>
      <c r="F254" s="10">
        <f t="shared" ca="1" si="30"/>
        <v>53766</v>
      </c>
      <c r="G254" s="156">
        <f t="shared" ca="1" si="31"/>
        <v>259601.33004097489</v>
      </c>
      <c r="H254" s="156">
        <f ca="1">SUM($G$8:G254)*gamma</f>
        <v>972085.76449299254</v>
      </c>
      <c r="I254" s="23">
        <f ca="1">MAX(0,ROUND($I$7-$H$7-H254-SUM($G$8:G254),0))</f>
        <v>0</v>
      </c>
      <c r="J254" s="208">
        <f t="shared" ca="1" si="25"/>
        <v>246</v>
      </c>
    </row>
    <row r="255" spans="1:10" ht="15.75" customHeight="1" thickBot="1">
      <c r="A255" s="237">
        <f t="shared" ca="1" si="26"/>
        <v>53797</v>
      </c>
      <c r="B255" s="238">
        <f t="shared" ca="1" si="27"/>
        <v>259601</v>
      </c>
      <c r="C255" s="238">
        <f t="shared" ca="1" si="28"/>
        <v>0</v>
      </c>
      <c r="D255" s="155">
        <f t="shared" ca="1" si="29"/>
        <v>247</v>
      </c>
      <c r="E255" s="209">
        <f t="shared" ca="1" si="24"/>
        <v>7</v>
      </c>
      <c r="F255" s="10">
        <f t="shared" ca="1" si="30"/>
        <v>53797</v>
      </c>
      <c r="G255" s="156">
        <f t="shared" ca="1" si="31"/>
        <v>259601.33004097489</v>
      </c>
      <c r="H255" s="156">
        <f ca="1">SUM($G$8:G255)*gamma</f>
        <v>979873.80439422186</v>
      </c>
      <c r="I255" s="23">
        <f ca="1">MAX(0,ROUND($I$7-$H$7-H255-SUM($G$8:G255),0))</f>
        <v>0</v>
      </c>
      <c r="J255" s="208">
        <f t="shared" ca="1" si="25"/>
        <v>247</v>
      </c>
    </row>
    <row r="256" spans="1:10" ht="15.75" customHeight="1" thickBot="1">
      <c r="A256" s="237">
        <f t="shared" ca="1" si="26"/>
        <v>53827</v>
      </c>
      <c r="B256" s="238">
        <f t="shared" ca="1" si="27"/>
        <v>259601</v>
      </c>
      <c r="C256" s="238">
        <f t="shared" ca="1" si="28"/>
        <v>0</v>
      </c>
      <c r="D256" s="155">
        <f t="shared" ca="1" si="29"/>
        <v>248</v>
      </c>
      <c r="E256" s="209">
        <f t="shared" ca="1" si="24"/>
        <v>8</v>
      </c>
      <c r="F256" s="10">
        <f t="shared" ca="1" si="30"/>
        <v>53827</v>
      </c>
      <c r="G256" s="156">
        <f t="shared" ca="1" si="31"/>
        <v>259601.33004097489</v>
      </c>
      <c r="H256" s="156">
        <f ca="1">SUM($G$8:G256)*gamma</f>
        <v>987661.84429545118</v>
      </c>
      <c r="I256" s="23">
        <f ca="1">MAX(0,ROUND($I$7-$H$7-H256-SUM($G$8:G256),0))</f>
        <v>0</v>
      </c>
      <c r="J256" s="208">
        <f t="shared" ca="1" si="25"/>
        <v>248</v>
      </c>
    </row>
    <row r="257" spans="1:10" ht="15.75" customHeight="1" thickBot="1">
      <c r="A257" s="237">
        <f t="shared" ca="1" si="26"/>
        <v>53858</v>
      </c>
      <c r="B257" s="238">
        <f t="shared" ca="1" si="27"/>
        <v>259601</v>
      </c>
      <c r="C257" s="238">
        <f t="shared" ca="1" si="28"/>
        <v>0</v>
      </c>
      <c r="D257" s="155">
        <f t="shared" ca="1" si="29"/>
        <v>249</v>
      </c>
      <c r="E257" s="209">
        <f t="shared" ca="1" si="24"/>
        <v>9</v>
      </c>
      <c r="F257" s="10">
        <f t="shared" ca="1" si="30"/>
        <v>53858</v>
      </c>
      <c r="G257" s="156">
        <f t="shared" ca="1" si="31"/>
        <v>259601.33004097489</v>
      </c>
      <c r="H257" s="156">
        <f ca="1">SUM($G$8:G257)*gamma</f>
        <v>995449.8841966805</v>
      </c>
      <c r="I257" s="23">
        <f ca="1">MAX(0,ROUND($I$7-$H$7-H257-SUM($G$8:G257),0))</f>
        <v>0</v>
      </c>
      <c r="J257" s="208">
        <f t="shared" ca="1" si="25"/>
        <v>249</v>
      </c>
    </row>
    <row r="258" spans="1:10" ht="15.75" customHeight="1" thickBot="1">
      <c r="A258" s="237">
        <f t="shared" ca="1" si="26"/>
        <v>53888</v>
      </c>
      <c r="B258" s="238">
        <f t="shared" ca="1" si="27"/>
        <v>259601</v>
      </c>
      <c r="C258" s="238">
        <f t="shared" ca="1" si="28"/>
        <v>0</v>
      </c>
      <c r="D258" s="155">
        <f t="shared" ca="1" si="29"/>
        <v>250</v>
      </c>
      <c r="E258" s="209">
        <f t="shared" ca="1" si="24"/>
        <v>10</v>
      </c>
      <c r="F258" s="10">
        <f t="shared" ca="1" si="30"/>
        <v>53888</v>
      </c>
      <c r="G258" s="156">
        <f t="shared" ca="1" si="31"/>
        <v>259601.33004097489</v>
      </c>
      <c r="H258" s="156">
        <f ca="1">SUM($G$8:G258)*gamma</f>
        <v>1003237.9240979097</v>
      </c>
      <c r="I258" s="23">
        <f ca="1">MAX(0,ROUND($I$7-$H$7-H258-SUM($G$8:G258),0))</f>
        <v>0</v>
      </c>
      <c r="J258" s="208">
        <f t="shared" ca="1" si="25"/>
        <v>250</v>
      </c>
    </row>
    <row r="259" spans="1:10" ht="15.75" customHeight="1" thickBot="1">
      <c r="A259" s="237">
        <f t="shared" ca="1" si="26"/>
        <v>53919</v>
      </c>
      <c r="B259" s="238">
        <f t="shared" ca="1" si="27"/>
        <v>259601</v>
      </c>
      <c r="C259" s="238">
        <f t="shared" ca="1" si="28"/>
        <v>0</v>
      </c>
      <c r="D259" s="155">
        <f t="shared" ca="1" si="29"/>
        <v>251</v>
      </c>
      <c r="E259" s="209">
        <f t="shared" ca="1" si="24"/>
        <v>11</v>
      </c>
      <c r="F259" s="10">
        <f t="shared" ca="1" si="30"/>
        <v>53919</v>
      </c>
      <c r="G259" s="156">
        <f t="shared" ca="1" si="31"/>
        <v>259601.33004097489</v>
      </c>
      <c r="H259" s="156">
        <f ca="1">SUM($G$8:G259)*gamma</f>
        <v>1011025.963999139</v>
      </c>
      <c r="I259" s="23">
        <f ca="1">MAX(0,ROUND($I$7-$H$7-H259-SUM($G$8:G259),0))</f>
        <v>0</v>
      </c>
      <c r="J259" s="208">
        <f t="shared" ca="1" si="25"/>
        <v>251</v>
      </c>
    </row>
    <row r="260" spans="1:10" ht="15.75" customHeight="1" thickBot="1">
      <c r="A260" s="237">
        <f t="shared" ca="1" si="26"/>
        <v>53950</v>
      </c>
      <c r="B260" s="238">
        <f t="shared" ca="1" si="27"/>
        <v>280369</v>
      </c>
      <c r="C260" s="238">
        <f t="shared" ca="1" si="28"/>
        <v>0</v>
      </c>
      <c r="D260" s="155">
        <f t="shared" ca="1" si="29"/>
        <v>252</v>
      </c>
      <c r="E260" s="209">
        <f t="shared" ca="1" si="24"/>
        <v>0</v>
      </c>
      <c r="F260" s="10">
        <f t="shared" ca="1" si="30"/>
        <v>53950</v>
      </c>
      <c r="G260" s="156">
        <f t="shared" ca="1" si="31"/>
        <v>280369.4364442529</v>
      </c>
      <c r="H260" s="156">
        <f ca="1">SUM($G$8:G260)*gamma</f>
        <v>1019437.0470924666</v>
      </c>
      <c r="I260" s="23">
        <f ca="1">MAX(0,ROUND($I$7-$H$7-H260-SUM($G$8:G260),0))</f>
        <v>0</v>
      </c>
      <c r="J260" s="208">
        <f t="shared" ca="1" si="25"/>
        <v>252</v>
      </c>
    </row>
    <row r="261" spans="1:10" ht="15.75" customHeight="1" thickBot="1">
      <c r="A261" s="237">
        <f t="shared" ca="1" si="26"/>
        <v>53980</v>
      </c>
      <c r="B261" s="238">
        <f t="shared" ca="1" si="27"/>
        <v>280369</v>
      </c>
      <c r="C261" s="238">
        <f t="shared" ca="1" si="28"/>
        <v>0</v>
      </c>
      <c r="D261" s="155">
        <f t="shared" ca="1" si="29"/>
        <v>253</v>
      </c>
      <c r="E261" s="209">
        <f t="shared" ca="1" si="24"/>
        <v>1</v>
      </c>
      <c r="F261" s="10">
        <f t="shared" ca="1" si="30"/>
        <v>53980</v>
      </c>
      <c r="G261" s="156">
        <f t="shared" ca="1" si="31"/>
        <v>280369.4364442529</v>
      </c>
      <c r="H261" s="156">
        <f ca="1">SUM($G$8:G261)*gamma</f>
        <v>1027848.1301857942</v>
      </c>
      <c r="I261" s="23">
        <f ca="1">MAX(0,ROUND($I$7-$H$7-H261-SUM($G$8:G261),0))</f>
        <v>0</v>
      </c>
      <c r="J261" s="208">
        <f t="shared" ca="1" si="25"/>
        <v>253</v>
      </c>
    </row>
    <row r="262" spans="1:10" ht="15.75" customHeight="1" thickBot="1">
      <c r="A262" s="237">
        <f t="shared" ca="1" si="26"/>
        <v>54011</v>
      </c>
      <c r="B262" s="238">
        <f t="shared" ca="1" si="27"/>
        <v>280369</v>
      </c>
      <c r="C262" s="238">
        <f t="shared" ca="1" si="28"/>
        <v>0</v>
      </c>
      <c r="D262" s="155">
        <f t="shared" ca="1" si="29"/>
        <v>254</v>
      </c>
      <c r="E262" s="209">
        <f t="shared" ca="1" si="24"/>
        <v>2</v>
      </c>
      <c r="F262" s="10">
        <f t="shared" ca="1" si="30"/>
        <v>54011</v>
      </c>
      <c r="G262" s="156">
        <f t="shared" ca="1" si="31"/>
        <v>280369.4364442529</v>
      </c>
      <c r="H262" s="156">
        <f ca="1">SUM($G$8:G262)*gamma</f>
        <v>1036259.2132791218</v>
      </c>
      <c r="I262" s="23">
        <f ca="1">MAX(0,ROUND($I$7-$H$7-H262-SUM($G$8:G262),0))</f>
        <v>0</v>
      </c>
      <c r="J262" s="208">
        <f t="shared" ca="1" si="25"/>
        <v>254</v>
      </c>
    </row>
    <row r="263" spans="1:10" ht="15.75" customHeight="1" thickBot="1">
      <c r="A263" s="237">
        <f t="shared" ca="1" si="26"/>
        <v>54041</v>
      </c>
      <c r="B263" s="238">
        <f t="shared" ca="1" si="27"/>
        <v>280369</v>
      </c>
      <c r="C263" s="238">
        <f t="shared" ca="1" si="28"/>
        <v>0</v>
      </c>
      <c r="D263" s="155">
        <f t="shared" ca="1" si="29"/>
        <v>255</v>
      </c>
      <c r="E263" s="209">
        <f t="shared" ca="1" si="24"/>
        <v>3</v>
      </c>
      <c r="F263" s="10">
        <f t="shared" ca="1" si="30"/>
        <v>54041</v>
      </c>
      <c r="G263" s="156">
        <f t="shared" ca="1" si="31"/>
        <v>280369.4364442529</v>
      </c>
      <c r="H263" s="156">
        <f ca="1">SUM($G$8:G263)*gamma</f>
        <v>1044670.2963724494</v>
      </c>
      <c r="I263" s="23">
        <f ca="1">MAX(0,ROUND($I$7-$H$7-H263-SUM($G$8:G263),0))</f>
        <v>0</v>
      </c>
      <c r="J263" s="208">
        <f t="shared" ca="1" si="25"/>
        <v>255</v>
      </c>
    </row>
    <row r="264" spans="1:10" ht="15.75" customHeight="1" thickBot="1">
      <c r="A264" s="237">
        <f t="shared" ca="1" si="26"/>
        <v>54072</v>
      </c>
      <c r="B264" s="238">
        <f t="shared" ca="1" si="27"/>
        <v>280369</v>
      </c>
      <c r="C264" s="238">
        <f t="shared" ca="1" si="28"/>
        <v>0</v>
      </c>
      <c r="D264" s="155">
        <f t="shared" ca="1" si="29"/>
        <v>256</v>
      </c>
      <c r="E264" s="209">
        <f t="shared" ref="E264:E327" ca="1" si="32">MOD(J264,12)</f>
        <v>4</v>
      </c>
      <c r="F264" s="10">
        <f t="shared" ca="1" si="30"/>
        <v>54072</v>
      </c>
      <c r="G264" s="156">
        <f t="shared" ca="1" si="31"/>
        <v>280369.4364442529</v>
      </c>
      <c r="H264" s="156">
        <f ca="1">SUM($G$8:G264)*gamma</f>
        <v>1053081.379465777</v>
      </c>
      <c r="I264" s="23">
        <f ca="1">MAX(0,ROUND($I$7-$H$7-H264-SUM($G$8:G264),0))</f>
        <v>0</v>
      </c>
      <c r="J264" s="208">
        <f t="shared" ref="J264:J327" ca="1" si="33">IF(G263&gt;0,1+J263,0)</f>
        <v>256</v>
      </c>
    </row>
    <row r="265" spans="1:10" ht="15.75" customHeight="1" thickBot="1">
      <c r="A265" s="237">
        <f t="shared" ref="A265:A328" ca="1" si="34">IF(d_plast&gt;=F265,F265,"")</f>
        <v>54103</v>
      </c>
      <c r="B265" s="238">
        <f t="shared" ref="B265:B328" ca="1" si="35">IF(A265="","",ROUND(G265,0))</f>
        <v>280369</v>
      </c>
      <c r="C265" s="238">
        <f t="shared" ref="C265:C328" ca="1" si="36">IF(A265&lt;&gt;"",IF(end=2,IF(D265&lt;24,0,I265),I265),"")</f>
        <v>0</v>
      </c>
      <c r="D265" s="155">
        <f t="shared" ref="D265:D328" ca="1" si="37">D264+freq_2</f>
        <v>257</v>
      </c>
      <c r="E265" s="209">
        <f t="shared" ca="1" si="32"/>
        <v>5</v>
      </c>
      <c r="F265" s="10">
        <f t="shared" ref="F265:F328" ca="1" si="38">EDATE($F$8,D265)</f>
        <v>54103</v>
      </c>
      <c r="G265" s="156">
        <f t="shared" ref="G265:G328" ca="1" si="39">IF(A265&lt;d_begin,0,IF(G264=0,Ben,IF(E265=0,G264*(1+index),G264)))</f>
        <v>280369.4364442529</v>
      </c>
      <c r="H265" s="156">
        <f ca="1">SUM($G$8:G265)*gamma</f>
        <v>1061492.4625591044</v>
      </c>
      <c r="I265" s="23">
        <f ca="1">MAX(0,ROUND($I$7-$H$7-H265-SUM($G$8:G265),0))</f>
        <v>0</v>
      </c>
      <c r="J265" s="208">
        <f t="shared" ca="1" si="33"/>
        <v>257</v>
      </c>
    </row>
    <row r="266" spans="1:10" ht="15.75" customHeight="1" thickBot="1">
      <c r="A266" s="237">
        <f t="shared" ca="1" si="34"/>
        <v>54132</v>
      </c>
      <c r="B266" s="238">
        <f t="shared" ca="1" si="35"/>
        <v>280369</v>
      </c>
      <c r="C266" s="238">
        <f t="shared" ca="1" si="36"/>
        <v>0</v>
      </c>
      <c r="D266" s="155">
        <f t="shared" ca="1" si="37"/>
        <v>258</v>
      </c>
      <c r="E266" s="209">
        <f t="shared" ca="1" si="32"/>
        <v>6</v>
      </c>
      <c r="F266" s="10">
        <f t="shared" ca="1" si="38"/>
        <v>54132</v>
      </c>
      <c r="G266" s="156">
        <f t="shared" ca="1" si="39"/>
        <v>280369.4364442529</v>
      </c>
      <c r="H266" s="156">
        <f ca="1">SUM($G$8:G266)*gamma</f>
        <v>1069903.5456524321</v>
      </c>
      <c r="I266" s="23">
        <f ca="1">MAX(0,ROUND($I$7-$H$7-H266-SUM($G$8:G266),0))</f>
        <v>0</v>
      </c>
      <c r="J266" s="208">
        <f t="shared" ca="1" si="33"/>
        <v>258</v>
      </c>
    </row>
    <row r="267" spans="1:10" ht="15.75" customHeight="1" thickBot="1">
      <c r="A267" s="237">
        <f t="shared" ca="1" si="34"/>
        <v>54163</v>
      </c>
      <c r="B267" s="238">
        <f t="shared" ca="1" si="35"/>
        <v>280369</v>
      </c>
      <c r="C267" s="238">
        <f t="shared" ca="1" si="36"/>
        <v>0</v>
      </c>
      <c r="D267" s="155">
        <f t="shared" ca="1" si="37"/>
        <v>259</v>
      </c>
      <c r="E267" s="209">
        <f t="shared" ca="1" si="32"/>
        <v>7</v>
      </c>
      <c r="F267" s="10">
        <f t="shared" ca="1" si="38"/>
        <v>54163</v>
      </c>
      <c r="G267" s="156">
        <f t="shared" ca="1" si="39"/>
        <v>280369.4364442529</v>
      </c>
      <c r="H267" s="156">
        <f ca="1">SUM($G$8:G267)*gamma</f>
        <v>1078314.6287457596</v>
      </c>
      <c r="I267" s="23">
        <f ca="1">MAX(0,ROUND($I$7-$H$7-H267-SUM($G$8:G267),0))</f>
        <v>0</v>
      </c>
      <c r="J267" s="208">
        <f t="shared" ca="1" si="33"/>
        <v>259</v>
      </c>
    </row>
    <row r="268" spans="1:10" ht="15.75" customHeight="1" thickBot="1">
      <c r="A268" s="237">
        <f t="shared" ca="1" si="34"/>
        <v>54193</v>
      </c>
      <c r="B268" s="238">
        <f t="shared" ca="1" si="35"/>
        <v>280369</v>
      </c>
      <c r="C268" s="238">
        <f t="shared" ca="1" si="36"/>
        <v>0</v>
      </c>
      <c r="D268" s="155">
        <f t="shared" ca="1" si="37"/>
        <v>260</v>
      </c>
      <c r="E268" s="209">
        <f t="shared" ca="1" si="32"/>
        <v>8</v>
      </c>
      <c r="F268" s="10">
        <f t="shared" ca="1" si="38"/>
        <v>54193</v>
      </c>
      <c r="G268" s="156">
        <f t="shared" ca="1" si="39"/>
        <v>280369.4364442529</v>
      </c>
      <c r="H268" s="156">
        <f ca="1">SUM($G$8:G268)*gamma</f>
        <v>1086725.7118390873</v>
      </c>
      <c r="I268" s="23">
        <f ca="1">MAX(0,ROUND($I$7-$H$7-H268-SUM($G$8:G268),0))</f>
        <v>0</v>
      </c>
      <c r="J268" s="208">
        <f t="shared" ca="1" si="33"/>
        <v>260</v>
      </c>
    </row>
    <row r="269" spans="1:10" ht="15.75" customHeight="1" thickBot="1">
      <c r="A269" s="237">
        <f t="shared" ca="1" si="34"/>
        <v>54224</v>
      </c>
      <c r="B269" s="238">
        <f t="shared" ca="1" si="35"/>
        <v>280369</v>
      </c>
      <c r="C269" s="238">
        <f t="shared" ca="1" si="36"/>
        <v>0</v>
      </c>
      <c r="D269" s="155">
        <f t="shared" ca="1" si="37"/>
        <v>261</v>
      </c>
      <c r="E269" s="209">
        <f t="shared" ca="1" si="32"/>
        <v>9</v>
      </c>
      <c r="F269" s="10">
        <f t="shared" ca="1" si="38"/>
        <v>54224</v>
      </c>
      <c r="G269" s="156">
        <f t="shared" ca="1" si="39"/>
        <v>280369.4364442529</v>
      </c>
      <c r="H269" s="156">
        <f ca="1">SUM($G$8:G269)*gamma</f>
        <v>1095136.7949324148</v>
      </c>
      <c r="I269" s="23">
        <f ca="1">MAX(0,ROUND($I$7-$H$7-H269-SUM($G$8:G269),0))</f>
        <v>0</v>
      </c>
      <c r="J269" s="208">
        <f t="shared" ca="1" si="33"/>
        <v>261</v>
      </c>
    </row>
    <row r="270" spans="1:10" ht="15.75" customHeight="1" thickBot="1">
      <c r="A270" s="237">
        <f t="shared" ca="1" si="34"/>
        <v>54254</v>
      </c>
      <c r="B270" s="238">
        <f t="shared" ca="1" si="35"/>
        <v>280369</v>
      </c>
      <c r="C270" s="238">
        <f t="shared" ca="1" si="36"/>
        <v>0</v>
      </c>
      <c r="D270" s="155">
        <f t="shared" ca="1" si="37"/>
        <v>262</v>
      </c>
      <c r="E270" s="209">
        <f t="shared" ca="1" si="32"/>
        <v>10</v>
      </c>
      <c r="F270" s="10">
        <f t="shared" ca="1" si="38"/>
        <v>54254</v>
      </c>
      <c r="G270" s="156">
        <f t="shared" ca="1" si="39"/>
        <v>280369.4364442529</v>
      </c>
      <c r="H270" s="156">
        <f ca="1">SUM($G$8:G270)*gamma</f>
        <v>1103547.8780257425</v>
      </c>
      <c r="I270" s="23">
        <f ca="1">MAX(0,ROUND($I$7-$H$7-H270-SUM($G$8:G270),0))</f>
        <v>0</v>
      </c>
      <c r="J270" s="208">
        <f t="shared" ca="1" si="33"/>
        <v>262</v>
      </c>
    </row>
    <row r="271" spans="1:10" ht="15.75" customHeight="1" thickBot="1">
      <c r="A271" s="237">
        <f t="shared" ca="1" si="34"/>
        <v>54285</v>
      </c>
      <c r="B271" s="238">
        <f t="shared" ca="1" si="35"/>
        <v>280369</v>
      </c>
      <c r="C271" s="238">
        <f t="shared" ca="1" si="36"/>
        <v>0</v>
      </c>
      <c r="D271" s="155">
        <f t="shared" ca="1" si="37"/>
        <v>263</v>
      </c>
      <c r="E271" s="209">
        <f t="shared" ca="1" si="32"/>
        <v>11</v>
      </c>
      <c r="F271" s="10">
        <f t="shared" ca="1" si="38"/>
        <v>54285</v>
      </c>
      <c r="G271" s="156">
        <f t="shared" ca="1" si="39"/>
        <v>280369.4364442529</v>
      </c>
      <c r="H271" s="156">
        <f ca="1">SUM($G$8:G271)*gamma</f>
        <v>1111958.96111907</v>
      </c>
      <c r="I271" s="23">
        <f ca="1">MAX(0,ROUND($I$7-$H$7-H271-SUM($G$8:G271),0))</f>
        <v>0</v>
      </c>
      <c r="J271" s="208">
        <f t="shared" ca="1" si="33"/>
        <v>263</v>
      </c>
    </row>
    <row r="272" spans="1:10" ht="15.75" customHeight="1" thickBot="1">
      <c r="A272" s="237">
        <f t="shared" ca="1" si="34"/>
        <v>54316</v>
      </c>
      <c r="B272" s="238">
        <f t="shared" ca="1" si="35"/>
        <v>302799</v>
      </c>
      <c r="C272" s="238">
        <f t="shared" ca="1" si="36"/>
        <v>0</v>
      </c>
      <c r="D272" s="155">
        <f t="shared" ca="1" si="37"/>
        <v>264</v>
      </c>
      <c r="E272" s="209">
        <f t="shared" ca="1" si="32"/>
        <v>0</v>
      </c>
      <c r="F272" s="10">
        <f t="shared" ca="1" si="38"/>
        <v>54316</v>
      </c>
      <c r="G272" s="156">
        <f t="shared" ca="1" si="39"/>
        <v>302798.99135979317</v>
      </c>
      <c r="H272" s="156">
        <f ca="1">SUM($G$8:G272)*gamma</f>
        <v>1121042.9308598638</v>
      </c>
      <c r="I272" s="23">
        <f ca="1">MAX(0,ROUND($I$7-$H$7-H272-SUM($G$8:G272),0))</f>
        <v>0</v>
      </c>
      <c r="J272" s="208">
        <f t="shared" ca="1" si="33"/>
        <v>264</v>
      </c>
    </row>
    <row r="273" spans="1:10" ht="15.75" customHeight="1" thickBot="1">
      <c r="A273" s="237">
        <f t="shared" ca="1" si="34"/>
        <v>54346</v>
      </c>
      <c r="B273" s="238">
        <f t="shared" ca="1" si="35"/>
        <v>302799</v>
      </c>
      <c r="C273" s="238">
        <f t="shared" ca="1" si="36"/>
        <v>0</v>
      </c>
      <c r="D273" s="155">
        <f t="shared" ca="1" si="37"/>
        <v>265</v>
      </c>
      <c r="E273" s="209">
        <f t="shared" ca="1" si="32"/>
        <v>1</v>
      </c>
      <c r="F273" s="10">
        <f t="shared" ca="1" si="38"/>
        <v>54346</v>
      </c>
      <c r="G273" s="156">
        <f t="shared" ca="1" si="39"/>
        <v>302798.99135979317</v>
      </c>
      <c r="H273" s="156">
        <f ca="1">SUM($G$8:G273)*gamma</f>
        <v>1130126.9006006576</v>
      </c>
      <c r="I273" s="23">
        <f ca="1">MAX(0,ROUND($I$7-$H$7-H273-SUM($G$8:G273),0))</f>
        <v>0</v>
      </c>
      <c r="J273" s="208">
        <f t="shared" ca="1" si="33"/>
        <v>265</v>
      </c>
    </row>
    <row r="274" spans="1:10" ht="15.75" customHeight="1" thickBot="1">
      <c r="A274" s="237">
        <f t="shared" ca="1" si="34"/>
        <v>54377</v>
      </c>
      <c r="B274" s="238">
        <f t="shared" ca="1" si="35"/>
        <v>302799</v>
      </c>
      <c r="C274" s="238">
        <f t="shared" ca="1" si="36"/>
        <v>0</v>
      </c>
      <c r="D274" s="155">
        <f t="shared" ca="1" si="37"/>
        <v>266</v>
      </c>
      <c r="E274" s="209">
        <f t="shared" ca="1" si="32"/>
        <v>2</v>
      </c>
      <c r="F274" s="10">
        <f t="shared" ca="1" si="38"/>
        <v>54377</v>
      </c>
      <c r="G274" s="156">
        <f t="shared" ca="1" si="39"/>
        <v>302798.99135979317</v>
      </c>
      <c r="H274" s="156">
        <f ca="1">SUM($G$8:G274)*gamma</f>
        <v>1139210.8703414514</v>
      </c>
      <c r="I274" s="23">
        <f ca="1">MAX(0,ROUND($I$7-$H$7-H274-SUM($G$8:G274),0))</f>
        <v>0</v>
      </c>
      <c r="J274" s="208">
        <f t="shared" ca="1" si="33"/>
        <v>266</v>
      </c>
    </row>
    <row r="275" spans="1:10" ht="15.75" customHeight="1" thickBot="1">
      <c r="A275" s="237">
        <f t="shared" ca="1" si="34"/>
        <v>54407</v>
      </c>
      <c r="B275" s="238">
        <f t="shared" ca="1" si="35"/>
        <v>302799</v>
      </c>
      <c r="C275" s="238">
        <f t="shared" ca="1" si="36"/>
        <v>0</v>
      </c>
      <c r="D275" s="155">
        <f t="shared" ca="1" si="37"/>
        <v>267</v>
      </c>
      <c r="E275" s="209">
        <f t="shared" ca="1" si="32"/>
        <v>3</v>
      </c>
      <c r="F275" s="10">
        <f t="shared" ca="1" si="38"/>
        <v>54407</v>
      </c>
      <c r="G275" s="156">
        <f t="shared" ca="1" si="39"/>
        <v>302798.99135979317</v>
      </c>
      <c r="H275" s="156">
        <f ca="1">SUM($G$8:G275)*gamma</f>
        <v>1148294.8400822452</v>
      </c>
      <c r="I275" s="23">
        <f ca="1">MAX(0,ROUND($I$7-$H$7-H275-SUM($G$8:G275),0))</f>
        <v>0</v>
      </c>
      <c r="J275" s="208">
        <f t="shared" ca="1" si="33"/>
        <v>267</v>
      </c>
    </row>
    <row r="276" spans="1:10" ht="15.75" customHeight="1" thickBot="1">
      <c r="A276" s="237">
        <f t="shared" ca="1" si="34"/>
        <v>54438</v>
      </c>
      <c r="B276" s="238">
        <f t="shared" ca="1" si="35"/>
        <v>302799</v>
      </c>
      <c r="C276" s="238">
        <f t="shared" ca="1" si="36"/>
        <v>0</v>
      </c>
      <c r="D276" s="155">
        <f t="shared" ca="1" si="37"/>
        <v>268</v>
      </c>
      <c r="E276" s="209">
        <f t="shared" ca="1" si="32"/>
        <v>4</v>
      </c>
      <c r="F276" s="10">
        <f t="shared" ca="1" si="38"/>
        <v>54438</v>
      </c>
      <c r="G276" s="156">
        <f t="shared" ca="1" si="39"/>
        <v>302798.99135979317</v>
      </c>
      <c r="H276" s="156">
        <f ca="1">SUM($G$8:G276)*gamma</f>
        <v>1157378.809823039</v>
      </c>
      <c r="I276" s="23">
        <f ca="1">MAX(0,ROUND($I$7-$H$7-H276-SUM($G$8:G276),0))</f>
        <v>0</v>
      </c>
      <c r="J276" s="208">
        <f t="shared" ca="1" si="33"/>
        <v>268</v>
      </c>
    </row>
    <row r="277" spans="1:10" ht="15.75" customHeight="1" thickBot="1">
      <c r="A277" s="237">
        <f t="shared" ca="1" si="34"/>
        <v>54469</v>
      </c>
      <c r="B277" s="238">
        <f t="shared" ca="1" si="35"/>
        <v>302799</v>
      </c>
      <c r="C277" s="238">
        <f t="shared" ca="1" si="36"/>
        <v>0</v>
      </c>
      <c r="D277" s="155">
        <f t="shared" ca="1" si="37"/>
        <v>269</v>
      </c>
      <c r="E277" s="209">
        <f t="shared" ca="1" si="32"/>
        <v>5</v>
      </c>
      <c r="F277" s="10">
        <f t="shared" ca="1" si="38"/>
        <v>54469</v>
      </c>
      <c r="G277" s="156">
        <f t="shared" ca="1" si="39"/>
        <v>302798.99135979317</v>
      </c>
      <c r="H277" s="156">
        <f ca="1">SUM($G$8:G277)*gamma</f>
        <v>1166462.7795638328</v>
      </c>
      <c r="I277" s="23">
        <f ca="1">MAX(0,ROUND($I$7-$H$7-H277-SUM($G$8:G277),0))</f>
        <v>0</v>
      </c>
      <c r="J277" s="208">
        <f t="shared" ca="1" si="33"/>
        <v>269</v>
      </c>
    </row>
    <row r="278" spans="1:10" ht="15.75" customHeight="1" thickBot="1">
      <c r="A278" s="237">
        <f t="shared" ca="1" si="34"/>
        <v>54497</v>
      </c>
      <c r="B278" s="238">
        <f t="shared" ca="1" si="35"/>
        <v>302799</v>
      </c>
      <c r="C278" s="238">
        <f t="shared" ca="1" si="36"/>
        <v>0</v>
      </c>
      <c r="D278" s="155">
        <f t="shared" ca="1" si="37"/>
        <v>270</v>
      </c>
      <c r="E278" s="209">
        <f t="shared" ca="1" si="32"/>
        <v>6</v>
      </c>
      <c r="F278" s="10">
        <f t="shared" ca="1" si="38"/>
        <v>54497</v>
      </c>
      <c r="G278" s="156">
        <f t="shared" ca="1" si="39"/>
        <v>302798.99135979317</v>
      </c>
      <c r="H278" s="156">
        <f ca="1">SUM($G$8:G278)*gamma</f>
        <v>1175546.7493046264</v>
      </c>
      <c r="I278" s="23">
        <f ca="1">MAX(0,ROUND($I$7-$H$7-H278-SUM($G$8:G278),0))</f>
        <v>0</v>
      </c>
      <c r="J278" s="208">
        <f t="shared" ca="1" si="33"/>
        <v>270</v>
      </c>
    </row>
    <row r="279" spans="1:10" ht="15.75" customHeight="1" thickBot="1">
      <c r="A279" s="237">
        <f t="shared" ca="1" si="34"/>
        <v>54528</v>
      </c>
      <c r="B279" s="238">
        <f t="shared" ca="1" si="35"/>
        <v>302799</v>
      </c>
      <c r="C279" s="238">
        <f t="shared" ca="1" si="36"/>
        <v>0</v>
      </c>
      <c r="D279" s="155">
        <f t="shared" ca="1" si="37"/>
        <v>271</v>
      </c>
      <c r="E279" s="209">
        <f t="shared" ca="1" si="32"/>
        <v>7</v>
      </c>
      <c r="F279" s="10">
        <f t="shared" ca="1" si="38"/>
        <v>54528</v>
      </c>
      <c r="G279" s="156">
        <f t="shared" ca="1" si="39"/>
        <v>302798.99135979317</v>
      </c>
      <c r="H279" s="156">
        <f ca="1">SUM($G$8:G279)*gamma</f>
        <v>1184630.7190454202</v>
      </c>
      <c r="I279" s="23">
        <f ca="1">MAX(0,ROUND($I$7-$H$7-H279-SUM($G$8:G279),0))</f>
        <v>0</v>
      </c>
      <c r="J279" s="208">
        <f t="shared" ca="1" si="33"/>
        <v>271</v>
      </c>
    </row>
    <row r="280" spans="1:10" ht="15.75" customHeight="1" thickBot="1">
      <c r="A280" s="237">
        <f t="shared" ca="1" si="34"/>
        <v>54558</v>
      </c>
      <c r="B280" s="238">
        <f t="shared" ca="1" si="35"/>
        <v>302799</v>
      </c>
      <c r="C280" s="238">
        <f t="shared" ca="1" si="36"/>
        <v>0</v>
      </c>
      <c r="D280" s="155">
        <f t="shared" ca="1" si="37"/>
        <v>272</v>
      </c>
      <c r="E280" s="209">
        <f t="shared" ca="1" si="32"/>
        <v>8</v>
      </c>
      <c r="F280" s="10">
        <f t="shared" ca="1" si="38"/>
        <v>54558</v>
      </c>
      <c r="G280" s="156">
        <f t="shared" ca="1" si="39"/>
        <v>302798.99135979317</v>
      </c>
      <c r="H280" s="156">
        <f ca="1">SUM($G$8:G280)*gamma</f>
        <v>1193714.688786214</v>
      </c>
      <c r="I280" s="23">
        <f ca="1">MAX(0,ROUND($I$7-$H$7-H280-SUM($G$8:G280),0))</f>
        <v>0</v>
      </c>
      <c r="J280" s="208">
        <f t="shared" ca="1" si="33"/>
        <v>272</v>
      </c>
    </row>
    <row r="281" spans="1:10" ht="15.75" customHeight="1" thickBot="1">
      <c r="A281" s="237">
        <f t="shared" ca="1" si="34"/>
        <v>54589</v>
      </c>
      <c r="B281" s="238">
        <f t="shared" ca="1" si="35"/>
        <v>302799</v>
      </c>
      <c r="C281" s="238">
        <f t="shared" ca="1" si="36"/>
        <v>0</v>
      </c>
      <c r="D281" s="155">
        <f t="shared" ca="1" si="37"/>
        <v>273</v>
      </c>
      <c r="E281" s="209">
        <f t="shared" ca="1" si="32"/>
        <v>9</v>
      </c>
      <c r="F281" s="10">
        <f t="shared" ca="1" si="38"/>
        <v>54589</v>
      </c>
      <c r="G281" s="156">
        <f t="shared" ca="1" si="39"/>
        <v>302798.99135979317</v>
      </c>
      <c r="H281" s="156">
        <f ca="1">SUM($G$8:G281)*gamma</f>
        <v>1202798.6585270078</v>
      </c>
      <c r="I281" s="23">
        <f ca="1">MAX(0,ROUND($I$7-$H$7-H281-SUM($G$8:G281),0))</f>
        <v>0</v>
      </c>
      <c r="J281" s="208">
        <f t="shared" ca="1" si="33"/>
        <v>273</v>
      </c>
    </row>
    <row r="282" spans="1:10" ht="15.75" customHeight="1" thickBot="1">
      <c r="A282" s="237">
        <f t="shared" ca="1" si="34"/>
        <v>54619</v>
      </c>
      <c r="B282" s="238">
        <f t="shared" ca="1" si="35"/>
        <v>302799</v>
      </c>
      <c r="C282" s="238">
        <f t="shared" ca="1" si="36"/>
        <v>0</v>
      </c>
      <c r="D282" s="155">
        <f t="shared" ca="1" si="37"/>
        <v>274</v>
      </c>
      <c r="E282" s="209">
        <f t="shared" ca="1" si="32"/>
        <v>10</v>
      </c>
      <c r="F282" s="10">
        <f t="shared" ca="1" si="38"/>
        <v>54619</v>
      </c>
      <c r="G282" s="156">
        <f t="shared" ca="1" si="39"/>
        <v>302798.99135979317</v>
      </c>
      <c r="H282" s="156">
        <f ca="1">SUM($G$8:G282)*gamma</f>
        <v>1211882.6282678016</v>
      </c>
      <c r="I282" s="23">
        <f ca="1">MAX(0,ROUND($I$7-$H$7-H282-SUM($G$8:G282),0))</f>
        <v>0</v>
      </c>
      <c r="J282" s="208">
        <f t="shared" ca="1" si="33"/>
        <v>274</v>
      </c>
    </row>
    <row r="283" spans="1:10" ht="15.75" customHeight="1" thickBot="1">
      <c r="A283" s="237">
        <f t="shared" ca="1" si="34"/>
        <v>54650</v>
      </c>
      <c r="B283" s="238">
        <f t="shared" ca="1" si="35"/>
        <v>302799</v>
      </c>
      <c r="C283" s="238">
        <f t="shared" ca="1" si="36"/>
        <v>0</v>
      </c>
      <c r="D283" s="155">
        <f t="shared" ca="1" si="37"/>
        <v>275</v>
      </c>
      <c r="E283" s="209">
        <f t="shared" ca="1" si="32"/>
        <v>11</v>
      </c>
      <c r="F283" s="10">
        <f t="shared" ca="1" si="38"/>
        <v>54650</v>
      </c>
      <c r="G283" s="156">
        <f t="shared" ca="1" si="39"/>
        <v>302798.99135979317</v>
      </c>
      <c r="H283" s="156">
        <f ca="1">SUM($G$8:G283)*gamma</f>
        <v>1220966.5980085954</v>
      </c>
      <c r="I283" s="23">
        <f ca="1">MAX(0,ROUND($I$7-$H$7-H283-SUM($G$8:G283),0))</f>
        <v>0</v>
      </c>
      <c r="J283" s="208">
        <f t="shared" ca="1" si="33"/>
        <v>275</v>
      </c>
    </row>
    <row r="284" spans="1:10" ht="15.75" customHeight="1" thickBot="1">
      <c r="A284" s="237">
        <f t="shared" ca="1" si="34"/>
        <v>54681</v>
      </c>
      <c r="B284" s="238">
        <f t="shared" ca="1" si="35"/>
        <v>327023</v>
      </c>
      <c r="C284" s="238">
        <f t="shared" ca="1" si="36"/>
        <v>0</v>
      </c>
      <c r="D284" s="155">
        <f t="shared" ca="1" si="37"/>
        <v>276</v>
      </c>
      <c r="E284" s="209">
        <f t="shared" ca="1" si="32"/>
        <v>0</v>
      </c>
      <c r="F284" s="10">
        <f t="shared" ca="1" si="38"/>
        <v>54681</v>
      </c>
      <c r="G284" s="156">
        <f t="shared" ca="1" si="39"/>
        <v>327022.91066857666</v>
      </c>
      <c r="H284" s="156">
        <f ca="1">SUM($G$8:G284)*gamma</f>
        <v>1230777.2853286525</v>
      </c>
      <c r="I284" s="23">
        <f ca="1">MAX(0,ROUND($I$7-$H$7-H284-SUM($G$8:G284),0))</f>
        <v>0</v>
      </c>
      <c r="J284" s="208">
        <f t="shared" ca="1" si="33"/>
        <v>276</v>
      </c>
    </row>
    <row r="285" spans="1:10" ht="15.75" customHeight="1" thickBot="1">
      <c r="A285" s="237">
        <f t="shared" ca="1" si="34"/>
        <v>54711</v>
      </c>
      <c r="B285" s="238">
        <f t="shared" ca="1" si="35"/>
        <v>327023</v>
      </c>
      <c r="C285" s="238">
        <f t="shared" ca="1" si="36"/>
        <v>0</v>
      </c>
      <c r="D285" s="155">
        <f t="shared" ca="1" si="37"/>
        <v>277</v>
      </c>
      <c r="E285" s="209">
        <f t="shared" ca="1" si="32"/>
        <v>1</v>
      </c>
      <c r="F285" s="10">
        <f t="shared" ca="1" si="38"/>
        <v>54711</v>
      </c>
      <c r="G285" s="156">
        <f t="shared" ca="1" si="39"/>
        <v>327022.91066857666</v>
      </c>
      <c r="H285" s="156">
        <f ca="1">SUM($G$8:G285)*gamma</f>
        <v>1240587.9726487098</v>
      </c>
      <c r="I285" s="23">
        <f ca="1">MAX(0,ROUND($I$7-$H$7-H285-SUM($G$8:G285),0))</f>
        <v>0</v>
      </c>
      <c r="J285" s="208">
        <f t="shared" ca="1" si="33"/>
        <v>277</v>
      </c>
    </row>
    <row r="286" spans="1:10" ht="15.75" customHeight="1" thickBot="1">
      <c r="A286" s="237">
        <f t="shared" ca="1" si="34"/>
        <v>54742</v>
      </c>
      <c r="B286" s="238">
        <f t="shared" ca="1" si="35"/>
        <v>327023</v>
      </c>
      <c r="C286" s="238">
        <f t="shared" ca="1" si="36"/>
        <v>0</v>
      </c>
      <c r="D286" s="155">
        <f t="shared" ca="1" si="37"/>
        <v>278</v>
      </c>
      <c r="E286" s="209">
        <f t="shared" ca="1" si="32"/>
        <v>2</v>
      </c>
      <c r="F286" s="10">
        <f t="shared" ca="1" si="38"/>
        <v>54742</v>
      </c>
      <c r="G286" s="156">
        <f t="shared" ca="1" si="39"/>
        <v>327022.91066857666</v>
      </c>
      <c r="H286" s="156">
        <f ca="1">SUM($G$8:G286)*gamma</f>
        <v>1250398.6599687671</v>
      </c>
      <c r="I286" s="23">
        <f ca="1">MAX(0,ROUND($I$7-$H$7-H286-SUM($G$8:G286),0))</f>
        <v>0</v>
      </c>
      <c r="J286" s="208">
        <f t="shared" ca="1" si="33"/>
        <v>278</v>
      </c>
    </row>
    <row r="287" spans="1:10" ht="15.75" customHeight="1" thickBot="1">
      <c r="A287" s="237">
        <f t="shared" ca="1" si="34"/>
        <v>54772</v>
      </c>
      <c r="B287" s="238">
        <f t="shared" ca="1" si="35"/>
        <v>327023</v>
      </c>
      <c r="C287" s="238">
        <f t="shared" ca="1" si="36"/>
        <v>0</v>
      </c>
      <c r="D287" s="155">
        <f t="shared" ca="1" si="37"/>
        <v>279</v>
      </c>
      <c r="E287" s="209">
        <f t="shared" ca="1" si="32"/>
        <v>3</v>
      </c>
      <c r="F287" s="10">
        <f t="shared" ca="1" si="38"/>
        <v>54772</v>
      </c>
      <c r="G287" s="156">
        <f t="shared" ca="1" si="39"/>
        <v>327022.91066857666</v>
      </c>
      <c r="H287" s="156">
        <f ca="1">SUM($G$8:G287)*gamma</f>
        <v>1260209.3472888244</v>
      </c>
      <c r="I287" s="23">
        <f ca="1">MAX(0,ROUND($I$7-$H$7-H287-SUM($G$8:G287),0))</f>
        <v>0</v>
      </c>
      <c r="J287" s="208">
        <f t="shared" ca="1" si="33"/>
        <v>279</v>
      </c>
    </row>
    <row r="288" spans="1:10" ht="15.75" customHeight="1" thickBot="1">
      <c r="A288" s="237">
        <f t="shared" ca="1" si="34"/>
        <v>54803</v>
      </c>
      <c r="B288" s="238">
        <f t="shared" ca="1" si="35"/>
        <v>327023</v>
      </c>
      <c r="C288" s="238">
        <f t="shared" ca="1" si="36"/>
        <v>0</v>
      </c>
      <c r="D288" s="155">
        <f t="shared" ca="1" si="37"/>
        <v>280</v>
      </c>
      <c r="E288" s="209">
        <f t="shared" ca="1" si="32"/>
        <v>4</v>
      </c>
      <c r="F288" s="10">
        <f t="shared" ca="1" si="38"/>
        <v>54803</v>
      </c>
      <c r="G288" s="156">
        <f t="shared" ca="1" si="39"/>
        <v>327022.91066857666</v>
      </c>
      <c r="H288" s="156">
        <f ca="1">SUM($G$8:G288)*gamma</f>
        <v>1270020.0346088815</v>
      </c>
      <c r="I288" s="23">
        <f ca="1">MAX(0,ROUND($I$7-$H$7-H288-SUM($G$8:G288),0))</f>
        <v>0</v>
      </c>
      <c r="J288" s="208">
        <f t="shared" ca="1" si="33"/>
        <v>280</v>
      </c>
    </row>
    <row r="289" spans="1:10" ht="15.75" customHeight="1" thickBot="1">
      <c r="A289" s="237">
        <f t="shared" ca="1" si="34"/>
        <v>54834</v>
      </c>
      <c r="B289" s="238">
        <f t="shared" ca="1" si="35"/>
        <v>327023</v>
      </c>
      <c r="C289" s="238">
        <f t="shared" ca="1" si="36"/>
        <v>0</v>
      </c>
      <c r="D289" s="155">
        <f t="shared" ca="1" si="37"/>
        <v>281</v>
      </c>
      <c r="E289" s="209">
        <f t="shared" ca="1" si="32"/>
        <v>5</v>
      </c>
      <c r="F289" s="10">
        <f t="shared" ca="1" si="38"/>
        <v>54834</v>
      </c>
      <c r="G289" s="156">
        <f t="shared" ca="1" si="39"/>
        <v>327022.91066857666</v>
      </c>
      <c r="H289" s="156">
        <f ca="1">SUM($G$8:G289)*gamma</f>
        <v>1279830.7219289388</v>
      </c>
      <c r="I289" s="23">
        <f ca="1">MAX(0,ROUND($I$7-$H$7-H289-SUM($G$8:G289),0))</f>
        <v>0</v>
      </c>
      <c r="J289" s="208">
        <f t="shared" ca="1" si="33"/>
        <v>281</v>
      </c>
    </row>
    <row r="290" spans="1:10" ht="15.75" customHeight="1" thickBot="1">
      <c r="A290" s="237">
        <f t="shared" ca="1" si="34"/>
        <v>54862</v>
      </c>
      <c r="B290" s="238">
        <f t="shared" ca="1" si="35"/>
        <v>327023</v>
      </c>
      <c r="C290" s="238">
        <f t="shared" ca="1" si="36"/>
        <v>0</v>
      </c>
      <c r="D290" s="155">
        <f t="shared" ca="1" si="37"/>
        <v>282</v>
      </c>
      <c r="E290" s="209">
        <f t="shared" ca="1" si="32"/>
        <v>6</v>
      </c>
      <c r="F290" s="10">
        <f t="shared" ca="1" si="38"/>
        <v>54862</v>
      </c>
      <c r="G290" s="156">
        <f t="shared" ca="1" si="39"/>
        <v>327022.91066857666</v>
      </c>
      <c r="H290" s="156">
        <f ca="1">SUM($G$8:G290)*gamma</f>
        <v>1289641.4092489961</v>
      </c>
      <c r="I290" s="23">
        <f ca="1">MAX(0,ROUND($I$7-$H$7-H290-SUM($G$8:G290),0))</f>
        <v>0</v>
      </c>
      <c r="J290" s="208">
        <f t="shared" ca="1" si="33"/>
        <v>282</v>
      </c>
    </row>
    <row r="291" spans="1:10" ht="15.75" customHeight="1" thickBot="1">
      <c r="A291" s="237">
        <f t="shared" ca="1" si="34"/>
        <v>54893</v>
      </c>
      <c r="B291" s="238">
        <f t="shared" ca="1" si="35"/>
        <v>327023</v>
      </c>
      <c r="C291" s="238">
        <f t="shared" ca="1" si="36"/>
        <v>0</v>
      </c>
      <c r="D291" s="155">
        <f t="shared" ca="1" si="37"/>
        <v>283</v>
      </c>
      <c r="E291" s="209">
        <f t="shared" ca="1" si="32"/>
        <v>7</v>
      </c>
      <c r="F291" s="10">
        <f t="shared" ca="1" si="38"/>
        <v>54893</v>
      </c>
      <c r="G291" s="156">
        <f t="shared" ca="1" si="39"/>
        <v>327022.91066857666</v>
      </c>
      <c r="H291" s="156">
        <f ca="1">SUM($G$8:G291)*gamma</f>
        <v>1299452.0965690531</v>
      </c>
      <c r="I291" s="23">
        <f ca="1">MAX(0,ROUND($I$7-$H$7-H291-SUM($G$8:G291),0))</f>
        <v>0</v>
      </c>
      <c r="J291" s="208">
        <f t="shared" ca="1" si="33"/>
        <v>283</v>
      </c>
    </row>
    <row r="292" spans="1:10" ht="15.75" customHeight="1" thickBot="1">
      <c r="A292" s="237">
        <f t="shared" ca="1" si="34"/>
        <v>54923</v>
      </c>
      <c r="B292" s="238">
        <f t="shared" ca="1" si="35"/>
        <v>327023</v>
      </c>
      <c r="C292" s="238">
        <f t="shared" ca="1" si="36"/>
        <v>0</v>
      </c>
      <c r="D292" s="155">
        <f t="shared" ca="1" si="37"/>
        <v>284</v>
      </c>
      <c r="E292" s="209">
        <f t="shared" ca="1" si="32"/>
        <v>8</v>
      </c>
      <c r="F292" s="10">
        <f t="shared" ca="1" si="38"/>
        <v>54923</v>
      </c>
      <c r="G292" s="156">
        <f t="shared" ca="1" si="39"/>
        <v>327022.91066857666</v>
      </c>
      <c r="H292" s="156">
        <f ca="1">SUM($G$8:G292)*gamma</f>
        <v>1309262.7838891104</v>
      </c>
      <c r="I292" s="23">
        <f ca="1">MAX(0,ROUND($I$7-$H$7-H292-SUM($G$8:G292),0))</f>
        <v>0</v>
      </c>
      <c r="J292" s="208">
        <f t="shared" ca="1" si="33"/>
        <v>284</v>
      </c>
    </row>
    <row r="293" spans="1:10" ht="15.75" customHeight="1" thickBot="1">
      <c r="A293" s="237">
        <f t="shared" ca="1" si="34"/>
        <v>54954</v>
      </c>
      <c r="B293" s="238">
        <f t="shared" ca="1" si="35"/>
        <v>327023</v>
      </c>
      <c r="C293" s="238">
        <f t="shared" ca="1" si="36"/>
        <v>0</v>
      </c>
      <c r="D293" s="155">
        <f t="shared" ca="1" si="37"/>
        <v>285</v>
      </c>
      <c r="E293" s="209">
        <f t="shared" ca="1" si="32"/>
        <v>9</v>
      </c>
      <c r="F293" s="10">
        <f t="shared" ca="1" si="38"/>
        <v>54954</v>
      </c>
      <c r="G293" s="156">
        <f t="shared" ca="1" si="39"/>
        <v>327022.91066857666</v>
      </c>
      <c r="H293" s="156">
        <f ca="1">SUM($G$8:G293)*gamma</f>
        <v>1319073.4712091677</v>
      </c>
      <c r="I293" s="23">
        <f ca="1">MAX(0,ROUND($I$7-$H$7-H293-SUM($G$8:G293),0))</f>
        <v>0</v>
      </c>
      <c r="J293" s="208">
        <f t="shared" ca="1" si="33"/>
        <v>285</v>
      </c>
    </row>
    <row r="294" spans="1:10" ht="15.75" customHeight="1" thickBot="1">
      <c r="A294" s="237">
        <f t="shared" ca="1" si="34"/>
        <v>54984</v>
      </c>
      <c r="B294" s="238">
        <f t="shared" ca="1" si="35"/>
        <v>327023</v>
      </c>
      <c r="C294" s="238">
        <f t="shared" ca="1" si="36"/>
        <v>0</v>
      </c>
      <c r="D294" s="155">
        <f t="shared" ca="1" si="37"/>
        <v>286</v>
      </c>
      <c r="E294" s="209">
        <f t="shared" ca="1" si="32"/>
        <v>10</v>
      </c>
      <c r="F294" s="10">
        <f t="shared" ca="1" si="38"/>
        <v>54984</v>
      </c>
      <c r="G294" s="156">
        <f t="shared" ca="1" si="39"/>
        <v>327022.91066857666</v>
      </c>
      <c r="H294" s="156">
        <f ca="1">SUM($G$8:G294)*gamma</f>
        <v>1328884.1585292248</v>
      </c>
      <c r="I294" s="23">
        <f ca="1">MAX(0,ROUND($I$7-$H$7-H294-SUM($G$8:G294),0))</f>
        <v>0</v>
      </c>
      <c r="J294" s="208">
        <f t="shared" ca="1" si="33"/>
        <v>286</v>
      </c>
    </row>
    <row r="295" spans="1:10" ht="15.75" customHeight="1" thickBot="1">
      <c r="A295" s="237">
        <f t="shared" ca="1" si="34"/>
        <v>55015</v>
      </c>
      <c r="B295" s="238">
        <f t="shared" ca="1" si="35"/>
        <v>327023</v>
      </c>
      <c r="C295" s="238">
        <f t="shared" ca="1" si="36"/>
        <v>0</v>
      </c>
      <c r="D295" s="155">
        <f t="shared" ca="1" si="37"/>
        <v>287</v>
      </c>
      <c r="E295" s="209">
        <f t="shared" ca="1" si="32"/>
        <v>11</v>
      </c>
      <c r="F295" s="10">
        <f t="shared" ca="1" si="38"/>
        <v>55015</v>
      </c>
      <c r="G295" s="156">
        <f t="shared" ca="1" si="39"/>
        <v>327022.91066857666</v>
      </c>
      <c r="H295" s="156">
        <f ca="1">SUM($G$8:G295)*gamma</f>
        <v>1338694.8458492821</v>
      </c>
      <c r="I295" s="23">
        <f ca="1">MAX(0,ROUND($I$7-$H$7-H295-SUM($G$8:G295),0))</f>
        <v>0</v>
      </c>
      <c r="J295" s="208">
        <f t="shared" ca="1" si="33"/>
        <v>287</v>
      </c>
    </row>
    <row r="296" spans="1:10" ht="15.75" customHeight="1" thickBot="1">
      <c r="A296" s="237">
        <f t="shared" ca="1" si="34"/>
        <v>55046</v>
      </c>
      <c r="B296" s="238">
        <f t="shared" ca="1" si="35"/>
        <v>353185</v>
      </c>
      <c r="C296" s="238">
        <f t="shared" ca="1" si="36"/>
        <v>0</v>
      </c>
      <c r="D296" s="155">
        <f t="shared" ca="1" si="37"/>
        <v>288</v>
      </c>
      <c r="E296" s="209">
        <f t="shared" ca="1" si="32"/>
        <v>0</v>
      </c>
      <c r="F296" s="10">
        <f t="shared" ca="1" si="38"/>
        <v>55046</v>
      </c>
      <c r="G296" s="156">
        <f t="shared" ca="1" si="39"/>
        <v>353184.74352206284</v>
      </c>
      <c r="H296" s="156">
        <f ca="1">SUM($G$8:G296)*gamma</f>
        <v>1349290.3881549439</v>
      </c>
      <c r="I296" s="23">
        <f ca="1">MAX(0,ROUND($I$7-$H$7-H296-SUM($G$8:G296),0))</f>
        <v>0</v>
      </c>
      <c r="J296" s="208">
        <f t="shared" ca="1" si="33"/>
        <v>288</v>
      </c>
    </row>
    <row r="297" spans="1:10" ht="15.75" customHeight="1" thickBot="1">
      <c r="A297" s="237">
        <f t="shared" ca="1" si="34"/>
        <v>55076</v>
      </c>
      <c r="B297" s="238">
        <f t="shared" ca="1" si="35"/>
        <v>353185</v>
      </c>
      <c r="C297" s="238">
        <f t="shared" ca="1" si="36"/>
        <v>0</v>
      </c>
      <c r="D297" s="155">
        <f t="shared" ca="1" si="37"/>
        <v>289</v>
      </c>
      <c r="E297" s="209">
        <f t="shared" ca="1" si="32"/>
        <v>1</v>
      </c>
      <c r="F297" s="10">
        <f t="shared" ca="1" si="38"/>
        <v>55076</v>
      </c>
      <c r="G297" s="156">
        <f t="shared" ca="1" si="39"/>
        <v>353184.74352206284</v>
      </c>
      <c r="H297" s="156">
        <f ca="1">SUM($G$8:G297)*gamma</f>
        <v>1359885.9304606058</v>
      </c>
      <c r="I297" s="23">
        <f ca="1">MAX(0,ROUND($I$7-$H$7-H297-SUM($G$8:G297),0))</f>
        <v>0</v>
      </c>
      <c r="J297" s="208">
        <f t="shared" ca="1" si="33"/>
        <v>289</v>
      </c>
    </row>
    <row r="298" spans="1:10" ht="15.75" customHeight="1" thickBot="1">
      <c r="A298" s="237">
        <f t="shared" ca="1" si="34"/>
        <v>55107</v>
      </c>
      <c r="B298" s="238">
        <f t="shared" ca="1" si="35"/>
        <v>353185</v>
      </c>
      <c r="C298" s="238">
        <f t="shared" ca="1" si="36"/>
        <v>0</v>
      </c>
      <c r="D298" s="155">
        <f t="shared" ca="1" si="37"/>
        <v>290</v>
      </c>
      <c r="E298" s="209">
        <f t="shared" ca="1" si="32"/>
        <v>2</v>
      </c>
      <c r="F298" s="10">
        <f t="shared" ca="1" si="38"/>
        <v>55107</v>
      </c>
      <c r="G298" s="156">
        <f t="shared" ca="1" si="39"/>
        <v>353184.74352206284</v>
      </c>
      <c r="H298" s="156">
        <f ca="1">SUM($G$8:G298)*gamma</f>
        <v>1370481.4727662678</v>
      </c>
      <c r="I298" s="23">
        <f ca="1">MAX(0,ROUND($I$7-$H$7-H298-SUM($G$8:G298),0))</f>
        <v>0</v>
      </c>
      <c r="J298" s="208">
        <f t="shared" ca="1" si="33"/>
        <v>290</v>
      </c>
    </row>
    <row r="299" spans="1:10" ht="15.75" customHeight="1" thickBot="1">
      <c r="A299" s="237">
        <f t="shared" ca="1" si="34"/>
        <v>55137</v>
      </c>
      <c r="B299" s="238">
        <f t="shared" ca="1" si="35"/>
        <v>353185</v>
      </c>
      <c r="C299" s="238">
        <f t="shared" ca="1" si="36"/>
        <v>0</v>
      </c>
      <c r="D299" s="155">
        <f t="shared" ca="1" si="37"/>
        <v>291</v>
      </c>
      <c r="E299" s="209">
        <f t="shared" ca="1" si="32"/>
        <v>3</v>
      </c>
      <c r="F299" s="10">
        <f t="shared" ca="1" si="38"/>
        <v>55137</v>
      </c>
      <c r="G299" s="156">
        <f t="shared" ca="1" si="39"/>
        <v>353184.74352206284</v>
      </c>
      <c r="H299" s="156">
        <f ca="1">SUM($G$8:G299)*gamma</f>
        <v>1381077.0150719297</v>
      </c>
      <c r="I299" s="23">
        <f ca="1">MAX(0,ROUND($I$7-$H$7-H299-SUM($G$8:G299),0))</f>
        <v>0</v>
      </c>
      <c r="J299" s="208">
        <f t="shared" ca="1" si="33"/>
        <v>291</v>
      </c>
    </row>
    <row r="300" spans="1:10" ht="15.75" customHeight="1" thickBot="1">
      <c r="A300" s="237">
        <f t="shared" ca="1" si="34"/>
        <v>55168</v>
      </c>
      <c r="B300" s="238">
        <f t="shared" ca="1" si="35"/>
        <v>353185</v>
      </c>
      <c r="C300" s="238">
        <f t="shared" ca="1" si="36"/>
        <v>0</v>
      </c>
      <c r="D300" s="155">
        <f t="shared" ca="1" si="37"/>
        <v>292</v>
      </c>
      <c r="E300" s="209">
        <f t="shared" ca="1" si="32"/>
        <v>4</v>
      </c>
      <c r="F300" s="10">
        <f t="shared" ca="1" si="38"/>
        <v>55168</v>
      </c>
      <c r="G300" s="156">
        <f t="shared" ca="1" si="39"/>
        <v>353184.74352206284</v>
      </c>
      <c r="H300" s="156">
        <f ca="1">SUM($G$8:G300)*gamma</f>
        <v>1391672.5573775915</v>
      </c>
      <c r="I300" s="23">
        <f ca="1">MAX(0,ROUND($I$7-$H$7-H300-SUM($G$8:G300),0))</f>
        <v>0</v>
      </c>
      <c r="J300" s="208">
        <f t="shared" ca="1" si="33"/>
        <v>292</v>
      </c>
    </row>
    <row r="301" spans="1:10" ht="15.75" customHeight="1" thickBot="1">
      <c r="A301" s="237">
        <f t="shared" ca="1" si="34"/>
        <v>55199</v>
      </c>
      <c r="B301" s="238">
        <f t="shared" ca="1" si="35"/>
        <v>353185</v>
      </c>
      <c r="C301" s="238">
        <f t="shared" ca="1" si="36"/>
        <v>0</v>
      </c>
      <c r="D301" s="155">
        <f t="shared" ca="1" si="37"/>
        <v>293</v>
      </c>
      <c r="E301" s="209">
        <f t="shared" ca="1" si="32"/>
        <v>5</v>
      </c>
      <c r="F301" s="10">
        <f t="shared" ca="1" si="38"/>
        <v>55199</v>
      </c>
      <c r="G301" s="156">
        <f t="shared" ca="1" si="39"/>
        <v>353184.74352206284</v>
      </c>
      <c r="H301" s="156">
        <f ca="1">SUM($G$8:G301)*gamma</f>
        <v>1402268.0996832533</v>
      </c>
      <c r="I301" s="23">
        <f ca="1">MAX(0,ROUND($I$7-$H$7-H301-SUM($G$8:G301),0))</f>
        <v>0</v>
      </c>
      <c r="J301" s="208">
        <f t="shared" ca="1" si="33"/>
        <v>293</v>
      </c>
    </row>
    <row r="302" spans="1:10" ht="15.75" customHeight="1" thickBot="1">
      <c r="A302" s="237">
        <f t="shared" ca="1" si="34"/>
        <v>55227</v>
      </c>
      <c r="B302" s="238">
        <f t="shared" ca="1" si="35"/>
        <v>353185</v>
      </c>
      <c r="C302" s="238">
        <f t="shared" ca="1" si="36"/>
        <v>0</v>
      </c>
      <c r="D302" s="155">
        <f t="shared" ca="1" si="37"/>
        <v>294</v>
      </c>
      <c r="E302" s="209">
        <f t="shared" ca="1" si="32"/>
        <v>6</v>
      </c>
      <c r="F302" s="10">
        <f t="shared" ca="1" si="38"/>
        <v>55227</v>
      </c>
      <c r="G302" s="156">
        <f t="shared" ca="1" si="39"/>
        <v>353184.74352206284</v>
      </c>
      <c r="H302" s="156">
        <f ca="1">SUM($G$8:G302)*gamma</f>
        <v>1412863.6419889154</v>
      </c>
      <c r="I302" s="23">
        <f ca="1">MAX(0,ROUND($I$7-$H$7-H302-SUM($G$8:G302),0))</f>
        <v>0</v>
      </c>
      <c r="J302" s="208">
        <f t="shared" ca="1" si="33"/>
        <v>294</v>
      </c>
    </row>
    <row r="303" spans="1:10" ht="15.75" customHeight="1" thickBot="1">
      <c r="A303" s="237">
        <f t="shared" ca="1" si="34"/>
        <v>55258</v>
      </c>
      <c r="B303" s="238">
        <f t="shared" ca="1" si="35"/>
        <v>353185</v>
      </c>
      <c r="C303" s="238">
        <f t="shared" ca="1" si="36"/>
        <v>0</v>
      </c>
      <c r="D303" s="155">
        <f t="shared" ca="1" si="37"/>
        <v>295</v>
      </c>
      <c r="E303" s="209">
        <f t="shared" ca="1" si="32"/>
        <v>7</v>
      </c>
      <c r="F303" s="10">
        <f t="shared" ca="1" si="38"/>
        <v>55258</v>
      </c>
      <c r="G303" s="156">
        <f t="shared" ca="1" si="39"/>
        <v>353184.74352206284</v>
      </c>
      <c r="H303" s="156">
        <f ca="1">SUM($G$8:G303)*gamma</f>
        <v>1423459.1842945772</v>
      </c>
      <c r="I303" s="23">
        <f ca="1">MAX(0,ROUND($I$7-$H$7-H303-SUM($G$8:G303),0))</f>
        <v>0</v>
      </c>
      <c r="J303" s="208">
        <f t="shared" ca="1" si="33"/>
        <v>295</v>
      </c>
    </row>
    <row r="304" spans="1:10" ht="15.75" customHeight="1" thickBot="1">
      <c r="A304" s="237">
        <f t="shared" ca="1" si="34"/>
        <v>55288</v>
      </c>
      <c r="B304" s="238">
        <f t="shared" ca="1" si="35"/>
        <v>353185</v>
      </c>
      <c r="C304" s="238">
        <f t="shared" ca="1" si="36"/>
        <v>0</v>
      </c>
      <c r="D304" s="155">
        <f t="shared" ca="1" si="37"/>
        <v>296</v>
      </c>
      <c r="E304" s="209">
        <f t="shared" ca="1" si="32"/>
        <v>8</v>
      </c>
      <c r="F304" s="10">
        <f t="shared" ca="1" si="38"/>
        <v>55288</v>
      </c>
      <c r="G304" s="156">
        <f t="shared" ca="1" si="39"/>
        <v>353184.74352206284</v>
      </c>
      <c r="H304" s="156">
        <f ca="1">SUM($G$8:G304)*gamma</f>
        <v>1434054.7266002391</v>
      </c>
      <c r="I304" s="23">
        <f ca="1">MAX(0,ROUND($I$7-$H$7-H304-SUM($G$8:G304),0))</f>
        <v>0</v>
      </c>
      <c r="J304" s="208">
        <f t="shared" ca="1" si="33"/>
        <v>296</v>
      </c>
    </row>
    <row r="305" spans="1:10" ht="15.75" customHeight="1" thickBot="1">
      <c r="A305" s="237">
        <f t="shared" ca="1" si="34"/>
        <v>55319</v>
      </c>
      <c r="B305" s="238">
        <f t="shared" ca="1" si="35"/>
        <v>353185</v>
      </c>
      <c r="C305" s="238">
        <f t="shared" ca="1" si="36"/>
        <v>0</v>
      </c>
      <c r="D305" s="155">
        <f t="shared" ca="1" si="37"/>
        <v>297</v>
      </c>
      <c r="E305" s="209">
        <f t="shared" ca="1" si="32"/>
        <v>9</v>
      </c>
      <c r="F305" s="10">
        <f t="shared" ca="1" si="38"/>
        <v>55319</v>
      </c>
      <c r="G305" s="156">
        <f t="shared" ca="1" si="39"/>
        <v>353184.74352206284</v>
      </c>
      <c r="H305" s="156">
        <f ca="1">SUM($G$8:G305)*gamma</f>
        <v>1444650.2689059009</v>
      </c>
      <c r="I305" s="23">
        <f ca="1">MAX(0,ROUND($I$7-$H$7-H305-SUM($G$8:G305),0))</f>
        <v>0</v>
      </c>
      <c r="J305" s="208">
        <f t="shared" ca="1" si="33"/>
        <v>297</v>
      </c>
    </row>
    <row r="306" spans="1:10" ht="15.75" customHeight="1" thickBot="1">
      <c r="A306" s="237">
        <f t="shared" ca="1" si="34"/>
        <v>55349</v>
      </c>
      <c r="B306" s="238">
        <f t="shared" ca="1" si="35"/>
        <v>353185</v>
      </c>
      <c r="C306" s="238">
        <f t="shared" ca="1" si="36"/>
        <v>0</v>
      </c>
      <c r="D306" s="155">
        <f t="shared" ca="1" si="37"/>
        <v>298</v>
      </c>
      <c r="E306" s="209">
        <f t="shared" ca="1" si="32"/>
        <v>10</v>
      </c>
      <c r="F306" s="10">
        <f t="shared" ca="1" si="38"/>
        <v>55349</v>
      </c>
      <c r="G306" s="156">
        <f t="shared" ca="1" si="39"/>
        <v>353184.74352206284</v>
      </c>
      <c r="H306" s="156">
        <f ca="1">SUM($G$8:G306)*gamma</f>
        <v>1455245.8112115629</v>
      </c>
      <c r="I306" s="23">
        <f ca="1">MAX(0,ROUND($I$7-$H$7-H306-SUM($G$8:G306),0))</f>
        <v>0</v>
      </c>
      <c r="J306" s="208">
        <f t="shared" ca="1" si="33"/>
        <v>298</v>
      </c>
    </row>
    <row r="307" spans="1:10" ht="15.75" customHeight="1" thickBot="1">
      <c r="A307" s="237">
        <f t="shared" ca="1" si="34"/>
        <v>55380</v>
      </c>
      <c r="B307" s="238">
        <f t="shared" ca="1" si="35"/>
        <v>353185</v>
      </c>
      <c r="C307" s="238">
        <f t="shared" ca="1" si="36"/>
        <v>0</v>
      </c>
      <c r="D307" s="155">
        <f t="shared" ca="1" si="37"/>
        <v>299</v>
      </c>
      <c r="E307" s="209">
        <f t="shared" ca="1" si="32"/>
        <v>11</v>
      </c>
      <c r="F307" s="10">
        <f t="shared" ca="1" si="38"/>
        <v>55380</v>
      </c>
      <c r="G307" s="156">
        <f t="shared" ca="1" si="39"/>
        <v>353184.74352206284</v>
      </c>
      <c r="H307" s="156">
        <f ca="1">SUM($G$8:G307)*gamma</f>
        <v>1465841.3535172248</v>
      </c>
      <c r="I307" s="23">
        <f ca="1">MAX(0,ROUND($I$7-$H$7-H307-SUM($G$8:G307),0))</f>
        <v>0</v>
      </c>
      <c r="J307" s="208">
        <f t="shared" ca="1" si="33"/>
        <v>299</v>
      </c>
    </row>
    <row r="308" spans="1:10" ht="15.75" customHeight="1" thickBot="1">
      <c r="A308" s="237">
        <f t="shared" ca="1" si="34"/>
        <v>55411</v>
      </c>
      <c r="B308" s="238">
        <f t="shared" ca="1" si="35"/>
        <v>381440</v>
      </c>
      <c r="C308" s="238">
        <f t="shared" ca="1" si="36"/>
        <v>0</v>
      </c>
      <c r="D308" s="155">
        <f t="shared" ca="1" si="37"/>
        <v>300</v>
      </c>
      <c r="E308" s="209">
        <f t="shared" ca="1" si="32"/>
        <v>0</v>
      </c>
      <c r="F308" s="10">
        <f t="shared" ca="1" si="38"/>
        <v>55411</v>
      </c>
      <c r="G308" s="156">
        <f t="shared" ca="1" si="39"/>
        <v>381439.5230038279</v>
      </c>
      <c r="H308" s="156">
        <f ca="1">SUM($G$8:G308)*gamma</f>
        <v>1477284.5392073398</v>
      </c>
      <c r="I308" s="23">
        <f ca="1">MAX(0,ROUND($I$7-$H$7-H308-SUM($G$8:G308),0))</f>
        <v>0</v>
      </c>
      <c r="J308" s="208">
        <f t="shared" ca="1" si="33"/>
        <v>300</v>
      </c>
    </row>
    <row r="309" spans="1:10" ht="15.75" customHeight="1" thickBot="1">
      <c r="A309" s="237">
        <f t="shared" ca="1" si="34"/>
        <v>55441</v>
      </c>
      <c r="B309" s="238">
        <f t="shared" ca="1" si="35"/>
        <v>381440</v>
      </c>
      <c r="C309" s="238">
        <f t="shared" ca="1" si="36"/>
        <v>0</v>
      </c>
      <c r="D309" s="155">
        <f t="shared" ca="1" si="37"/>
        <v>301</v>
      </c>
      <c r="E309" s="209">
        <f t="shared" ca="1" si="32"/>
        <v>1</v>
      </c>
      <c r="F309" s="10">
        <f t="shared" ca="1" si="38"/>
        <v>55441</v>
      </c>
      <c r="G309" s="156">
        <f t="shared" ca="1" si="39"/>
        <v>381439.5230038279</v>
      </c>
      <c r="H309" s="156">
        <f ca="1">SUM($G$8:G309)*gamma</f>
        <v>1488727.7248974547</v>
      </c>
      <c r="I309" s="23">
        <f ca="1">MAX(0,ROUND($I$7-$H$7-H309-SUM($G$8:G309),0))</f>
        <v>0</v>
      </c>
      <c r="J309" s="208">
        <f t="shared" ca="1" si="33"/>
        <v>301</v>
      </c>
    </row>
    <row r="310" spans="1:10" ht="15.75" customHeight="1" thickBot="1">
      <c r="A310" s="237">
        <f t="shared" ca="1" si="34"/>
        <v>55472</v>
      </c>
      <c r="B310" s="238">
        <f t="shared" ca="1" si="35"/>
        <v>381440</v>
      </c>
      <c r="C310" s="238">
        <f t="shared" ca="1" si="36"/>
        <v>0</v>
      </c>
      <c r="D310" s="155">
        <f t="shared" ca="1" si="37"/>
        <v>302</v>
      </c>
      <c r="E310" s="209">
        <f t="shared" ca="1" si="32"/>
        <v>2</v>
      </c>
      <c r="F310" s="10">
        <f t="shared" ca="1" si="38"/>
        <v>55472</v>
      </c>
      <c r="G310" s="156">
        <f t="shared" ca="1" si="39"/>
        <v>381439.5230038279</v>
      </c>
      <c r="H310" s="156">
        <f ca="1">SUM($G$8:G310)*gamma</f>
        <v>1500170.9105875695</v>
      </c>
      <c r="I310" s="23">
        <f ca="1">MAX(0,ROUND($I$7-$H$7-H310-SUM($G$8:G310),0))</f>
        <v>0</v>
      </c>
      <c r="J310" s="208">
        <f t="shared" ca="1" si="33"/>
        <v>302</v>
      </c>
    </row>
    <row r="311" spans="1:10" ht="15.75" customHeight="1" thickBot="1">
      <c r="A311" s="237">
        <f t="shared" ca="1" si="34"/>
        <v>55502</v>
      </c>
      <c r="B311" s="238">
        <f t="shared" ca="1" si="35"/>
        <v>381440</v>
      </c>
      <c r="C311" s="238">
        <f t="shared" ca="1" si="36"/>
        <v>0</v>
      </c>
      <c r="D311" s="155">
        <f t="shared" ca="1" si="37"/>
        <v>303</v>
      </c>
      <c r="E311" s="209">
        <f t="shared" ca="1" si="32"/>
        <v>3</v>
      </c>
      <c r="F311" s="10">
        <f t="shared" ca="1" si="38"/>
        <v>55502</v>
      </c>
      <c r="G311" s="156">
        <f t="shared" ca="1" si="39"/>
        <v>381439.5230038279</v>
      </c>
      <c r="H311" s="156">
        <f ca="1">SUM($G$8:G311)*gamma</f>
        <v>1511614.0962776844</v>
      </c>
      <c r="I311" s="23">
        <f ca="1">MAX(0,ROUND($I$7-$H$7-H311-SUM($G$8:G311),0))</f>
        <v>0</v>
      </c>
      <c r="J311" s="208">
        <f t="shared" ca="1" si="33"/>
        <v>303</v>
      </c>
    </row>
    <row r="312" spans="1:10" ht="15.75" customHeight="1" thickBot="1">
      <c r="A312" s="237">
        <f t="shared" ca="1" si="34"/>
        <v>55533</v>
      </c>
      <c r="B312" s="238">
        <f t="shared" ca="1" si="35"/>
        <v>381440</v>
      </c>
      <c r="C312" s="238">
        <f t="shared" ca="1" si="36"/>
        <v>0</v>
      </c>
      <c r="D312" s="155">
        <f t="shared" ca="1" si="37"/>
        <v>304</v>
      </c>
      <c r="E312" s="209">
        <f t="shared" ca="1" si="32"/>
        <v>4</v>
      </c>
      <c r="F312" s="10">
        <f t="shared" ca="1" si="38"/>
        <v>55533</v>
      </c>
      <c r="G312" s="156">
        <f t="shared" ca="1" si="39"/>
        <v>381439.5230038279</v>
      </c>
      <c r="H312" s="156">
        <f ca="1">SUM($G$8:G312)*gamma</f>
        <v>1523057.2819677994</v>
      </c>
      <c r="I312" s="23">
        <f ca="1">MAX(0,ROUND($I$7-$H$7-H312-SUM($G$8:G312),0))</f>
        <v>0</v>
      </c>
      <c r="J312" s="208">
        <f t="shared" ca="1" si="33"/>
        <v>304</v>
      </c>
    </row>
    <row r="313" spans="1:10" ht="15.75" customHeight="1" thickBot="1">
      <c r="A313" s="237">
        <f t="shared" ca="1" si="34"/>
        <v>55564</v>
      </c>
      <c r="B313" s="238">
        <f t="shared" ca="1" si="35"/>
        <v>381440</v>
      </c>
      <c r="C313" s="238">
        <f t="shared" ca="1" si="36"/>
        <v>0</v>
      </c>
      <c r="D313" s="155">
        <f t="shared" ca="1" si="37"/>
        <v>305</v>
      </c>
      <c r="E313" s="209">
        <f t="shared" ca="1" si="32"/>
        <v>5</v>
      </c>
      <c r="F313" s="10">
        <f t="shared" ca="1" si="38"/>
        <v>55564</v>
      </c>
      <c r="G313" s="156">
        <f t="shared" ca="1" si="39"/>
        <v>381439.5230038279</v>
      </c>
      <c r="H313" s="156">
        <f ca="1">SUM($G$8:G313)*gamma</f>
        <v>1534500.4676579144</v>
      </c>
      <c r="I313" s="23">
        <f ca="1">MAX(0,ROUND($I$7-$H$7-H313-SUM($G$8:G313),0))</f>
        <v>0</v>
      </c>
      <c r="J313" s="208">
        <f t="shared" ca="1" si="33"/>
        <v>305</v>
      </c>
    </row>
    <row r="314" spans="1:10" ht="15.75" customHeight="1" thickBot="1">
      <c r="A314" s="237">
        <f t="shared" ca="1" si="34"/>
        <v>55593</v>
      </c>
      <c r="B314" s="238">
        <f t="shared" ca="1" si="35"/>
        <v>381440</v>
      </c>
      <c r="C314" s="238">
        <f t="shared" ca="1" si="36"/>
        <v>0</v>
      </c>
      <c r="D314" s="155">
        <f t="shared" ca="1" si="37"/>
        <v>306</v>
      </c>
      <c r="E314" s="209">
        <f t="shared" ca="1" si="32"/>
        <v>6</v>
      </c>
      <c r="F314" s="10">
        <f t="shared" ca="1" si="38"/>
        <v>55593</v>
      </c>
      <c r="G314" s="156">
        <f t="shared" ca="1" si="39"/>
        <v>381439.5230038279</v>
      </c>
      <c r="H314" s="156">
        <f ca="1">SUM($G$8:G314)*gamma</f>
        <v>1545943.6533480294</v>
      </c>
      <c r="I314" s="23">
        <f ca="1">MAX(0,ROUND($I$7-$H$7-H314-SUM($G$8:G314),0))</f>
        <v>0</v>
      </c>
      <c r="J314" s="208">
        <f t="shared" ca="1" si="33"/>
        <v>306</v>
      </c>
    </row>
    <row r="315" spans="1:10" ht="15.75" customHeight="1" thickBot="1">
      <c r="A315" s="237">
        <f t="shared" ca="1" si="34"/>
        <v>55624</v>
      </c>
      <c r="B315" s="238">
        <f t="shared" ca="1" si="35"/>
        <v>381440</v>
      </c>
      <c r="C315" s="238">
        <f t="shared" ca="1" si="36"/>
        <v>0</v>
      </c>
      <c r="D315" s="155">
        <f t="shared" ca="1" si="37"/>
        <v>307</v>
      </c>
      <c r="E315" s="209">
        <f t="shared" ca="1" si="32"/>
        <v>7</v>
      </c>
      <c r="F315" s="10">
        <f t="shared" ca="1" si="38"/>
        <v>55624</v>
      </c>
      <c r="G315" s="156">
        <f t="shared" ca="1" si="39"/>
        <v>381439.5230038279</v>
      </c>
      <c r="H315" s="156">
        <f ca="1">SUM($G$8:G315)*gamma</f>
        <v>1557386.8390381443</v>
      </c>
      <c r="I315" s="23">
        <f ca="1">MAX(0,ROUND($I$7-$H$7-H315-SUM($G$8:G315),0))</f>
        <v>0</v>
      </c>
      <c r="J315" s="208">
        <f t="shared" ca="1" si="33"/>
        <v>307</v>
      </c>
    </row>
    <row r="316" spans="1:10" ht="15.75" customHeight="1" thickBot="1">
      <c r="A316" s="237">
        <f t="shared" ca="1" si="34"/>
        <v>55654</v>
      </c>
      <c r="B316" s="238">
        <f t="shared" ca="1" si="35"/>
        <v>381440</v>
      </c>
      <c r="C316" s="238">
        <f t="shared" ca="1" si="36"/>
        <v>0</v>
      </c>
      <c r="D316" s="155">
        <f t="shared" ca="1" si="37"/>
        <v>308</v>
      </c>
      <c r="E316" s="209">
        <f t="shared" ca="1" si="32"/>
        <v>8</v>
      </c>
      <c r="F316" s="10">
        <f t="shared" ca="1" si="38"/>
        <v>55654</v>
      </c>
      <c r="G316" s="156">
        <f t="shared" ca="1" si="39"/>
        <v>381439.5230038279</v>
      </c>
      <c r="H316" s="156">
        <f ca="1">SUM($G$8:G316)*gamma</f>
        <v>1568830.0247282593</v>
      </c>
      <c r="I316" s="23">
        <f ca="1">MAX(0,ROUND($I$7-$H$7-H316-SUM($G$8:G316),0))</f>
        <v>0</v>
      </c>
      <c r="J316" s="208">
        <f t="shared" ca="1" si="33"/>
        <v>308</v>
      </c>
    </row>
    <row r="317" spans="1:10" ht="15.75" customHeight="1" thickBot="1">
      <c r="A317" s="237">
        <f t="shared" ca="1" si="34"/>
        <v>55685</v>
      </c>
      <c r="B317" s="238">
        <f t="shared" ca="1" si="35"/>
        <v>381440</v>
      </c>
      <c r="C317" s="238">
        <f t="shared" ca="1" si="36"/>
        <v>0</v>
      </c>
      <c r="D317" s="155">
        <f t="shared" ca="1" si="37"/>
        <v>309</v>
      </c>
      <c r="E317" s="209">
        <f t="shared" ca="1" si="32"/>
        <v>9</v>
      </c>
      <c r="F317" s="10">
        <f t="shared" ca="1" si="38"/>
        <v>55685</v>
      </c>
      <c r="G317" s="156">
        <f t="shared" ca="1" si="39"/>
        <v>381439.5230038279</v>
      </c>
      <c r="H317" s="156">
        <f ca="1">SUM($G$8:G317)*gamma</f>
        <v>1580273.2104183743</v>
      </c>
      <c r="I317" s="23">
        <f ca="1">MAX(0,ROUND($I$7-$H$7-H317-SUM($G$8:G317),0))</f>
        <v>0</v>
      </c>
      <c r="J317" s="208">
        <f t="shared" ca="1" si="33"/>
        <v>309</v>
      </c>
    </row>
    <row r="318" spans="1:10" ht="15.75" customHeight="1" thickBot="1">
      <c r="A318" s="237">
        <f t="shared" ca="1" si="34"/>
        <v>55715</v>
      </c>
      <c r="B318" s="238">
        <f t="shared" ca="1" si="35"/>
        <v>381440</v>
      </c>
      <c r="C318" s="238">
        <f t="shared" ca="1" si="36"/>
        <v>0</v>
      </c>
      <c r="D318" s="155">
        <f t="shared" ca="1" si="37"/>
        <v>310</v>
      </c>
      <c r="E318" s="209">
        <f t="shared" ca="1" si="32"/>
        <v>10</v>
      </c>
      <c r="F318" s="10">
        <f t="shared" ca="1" si="38"/>
        <v>55715</v>
      </c>
      <c r="G318" s="156">
        <f t="shared" ca="1" si="39"/>
        <v>381439.5230038279</v>
      </c>
      <c r="H318" s="156">
        <f ca="1">SUM($G$8:G318)*gamma</f>
        <v>1591716.396108489</v>
      </c>
      <c r="I318" s="23">
        <f ca="1">MAX(0,ROUND($I$7-$H$7-H318-SUM($G$8:G318),0))</f>
        <v>0</v>
      </c>
      <c r="J318" s="208">
        <f t="shared" ca="1" si="33"/>
        <v>310</v>
      </c>
    </row>
    <row r="319" spans="1:10" ht="15.75" customHeight="1" thickBot="1">
      <c r="A319" s="237">
        <f t="shared" ca="1" si="34"/>
        <v>55746</v>
      </c>
      <c r="B319" s="238">
        <f t="shared" ca="1" si="35"/>
        <v>381440</v>
      </c>
      <c r="C319" s="238">
        <f t="shared" ca="1" si="36"/>
        <v>0</v>
      </c>
      <c r="D319" s="155">
        <f t="shared" ca="1" si="37"/>
        <v>311</v>
      </c>
      <c r="E319" s="209">
        <f t="shared" ca="1" si="32"/>
        <v>11</v>
      </c>
      <c r="F319" s="10">
        <f t="shared" ca="1" si="38"/>
        <v>55746</v>
      </c>
      <c r="G319" s="156">
        <f t="shared" ca="1" si="39"/>
        <v>381439.5230038279</v>
      </c>
      <c r="H319" s="156">
        <f ca="1">SUM($G$8:G319)*gamma</f>
        <v>1603159.581798604</v>
      </c>
      <c r="I319" s="23">
        <f ca="1">MAX(0,ROUND($I$7-$H$7-H319-SUM($G$8:G319),0))</f>
        <v>0</v>
      </c>
      <c r="J319" s="208">
        <f t="shared" ca="1" si="33"/>
        <v>311</v>
      </c>
    </row>
    <row r="320" spans="1:10" ht="15.75" customHeight="1" thickBot="1">
      <c r="A320" s="237">
        <f t="shared" ca="1" si="34"/>
        <v>55777</v>
      </c>
      <c r="B320" s="238">
        <f t="shared" ca="1" si="35"/>
        <v>411955</v>
      </c>
      <c r="C320" s="238">
        <f t="shared" ca="1" si="36"/>
        <v>0</v>
      </c>
      <c r="D320" s="155">
        <f t="shared" ca="1" si="37"/>
        <v>312</v>
      </c>
      <c r="E320" s="209">
        <f t="shared" ca="1" si="32"/>
        <v>0</v>
      </c>
      <c r="F320" s="10">
        <f t="shared" ca="1" si="38"/>
        <v>55777</v>
      </c>
      <c r="G320" s="156">
        <f t="shared" ca="1" si="39"/>
        <v>411954.68484413414</v>
      </c>
      <c r="H320" s="156">
        <f ca="1">SUM($G$8:G320)*gamma</f>
        <v>1615518.2223439282</v>
      </c>
      <c r="I320" s="23">
        <f ca="1">MAX(0,ROUND($I$7-$H$7-H320-SUM($G$8:G320),0))</f>
        <v>0</v>
      </c>
      <c r="J320" s="208">
        <f t="shared" ca="1" si="33"/>
        <v>312</v>
      </c>
    </row>
    <row r="321" spans="1:10" ht="15.75" customHeight="1" thickBot="1">
      <c r="A321" s="237">
        <f t="shared" ca="1" si="34"/>
        <v>55807</v>
      </c>
      <c r="B321" s="238">
        <f t="shared" ca="1" si="35"/>
        <v>411955</v>
      </c>
      <c r="C321" s="238">
        <f t="shared" ca="1" si="36"/>
        <v>0</v>
      </c>
      <c r="D321" s="155">
        <f t="shared" ca="1" si="37"/>
        <v>313</v>
      </c>
      <c r="E321" s="209">
        <f t="shared" ca="1" si="32"/>
        <v>1</v>
      </c>
      <c r="F321" s="10">
        <f t="shared" ca="1" si="38"/>
        <v>55807</v>
      </c>
      <c r="G321" s="156">
        <f t="shared" ca="1" si="39"/>
        <v>411954.68484413414</v>
      </c>
      <c r="H321" s="156">
        <f ca="1">SUM($G$8:G321)*gamma</f>
        <v>1627876.8628892521</v>
      </c>
      <c r="I321" s="23">
        <f ca="1">MAX(0,ROUND($I$7-$H$7-H321-SUM($G$8:G321),0))</f>
        <v>0</v>
      </c>
      <c r="J321" s="208">
        <f t="shared" ca="1" si="33"/>
        <v>313</v>
      </c>
    </row>
    <row r="322" spans="1:10" ht="15.75" customHeight="1" thickBot="1">
      <c r="A322" s="237">
        <f t="shared" ca="1" si="34"/>
        <v>55838</v>
      </c>
      <c r="B322" s="238">
        <f t="shared" ca="1" si="35"/>
        <v>411955</v>
      </c>
      <c r="C322" s="238">
        <f t="shared" ca="1" si="36"/>
        <v>0</v>
      </c>
      <c r="D322" s="155">
        <f t="shared" ca="1" si="37"/>
        <v>314</v>
      </c>
      <c r="E322" s="209">
        <f t="shared" ca="1" si="32"/>
        <v>2</v>
      </c>
      <c r="F322" s="10">
        <f t="shared" ca="1" si="38"/>
        <v>55838</v>
      </c>
      <c r="G322" s="156">
        <f t="shared" ca="1" si="39"/>
        <v>411954.68484413414</v>
      </c>
      <c r="H322" s="156">
        <f ca="1">SUM($G$8:G322)*gamma</f>
        <v>1640235.5034345763</v>
      </c>
      <c r="I322" s="23">
        <f ca="1">MAX(0,ROUND($I$7-$H$7-H322-SUM($G$8:G322),0))</f>
        <v>0</v>
      </c>
      <c r="J322" s="208">
        <f t="shared" ca="1" si="33"/>
        <v>314</v>
      </c>
    </row>
    <row r="323" spans="1:10" ht="15.75" customHeight="1" thickBot="1">
      <c r="A323" s="237">
        <f t="shared" ca="1" si="34"/>
        <v>55868</v>
      </c>
      <c r="B323" s="238">
        <f t="shared" ca="1" si="35"/>
        <v>411955</v>
      </c>
      <c r="C323" s="238">
        <f t="shared" ca="1" si="36"/>
        <v>0</v>
      </c>
      <c r="D323" s="155">
        <f t="shared" ca="1" si="37"/>
        <v>315</v>
      </c>
      <c r="E323" s="209">
        <f t="shared" ca="1" si="32"/>
        <v>3</v>
      </c>
      <c r="F323" s="10">
        <f t="shared" ca="1" si="38"/>
        <v>55868</v>
      </c>
      <c r="G323" s="156">
        <f t="shared" ca="1" si="39"/>
        <v>411954.68484413414</v>
      </c>
      <c r="H323" s="156">
        <f ca="1">SUM($G$8:G323)*gamma</f>
        <v>1652594.1439799005</v>
      </c>
      <c r="I323" s="23">
        <f ca="1">MAX(0,ROUND($I$7-$H$7-H323-SUM($G$8:G323),0))</f>
        <v>0</v>
      </c>
      <c r="J323" s="208">
        <f t="shared" ca="1" si="33"/>
        <v>315</v>
      </c>
    </row>
    <row r="324" spans="1:10" ht="15.75" customHeight="1" thickBot="1">
      <c r="A324" s="237">
        <f t="shared" ca="1" si="34"/>
        <v>55899</v>
      </c>
      <c r="B324" s="238">
        <f t="shared" ca="1" si="35"/>
        <v>411955</v>
      </c>
      <c r="C324" s="238">
        <f t="shared" ca="1" si="36"/>
        <v>0</v>
      </c>
      <c r="D324" s="155">
        <f t="shared" ca="1" si="37"/>
        <v>316</v>
      </c>
      <c r="E324" s="209">
        <f t="shared" ca="1" si="32"/>
        <v>4</v>
      </c>
      <c r="F324" s="10">
        <f t="shared" ca="1" si="38"/>
        <v>55899</v>
      </c>
      <c r="G324" s="156">
        <f t="shared" ca="1" si="39"/>
        <v>411954.68484413414</v>
      </c>
      <c r="H324" s="156">
        <f ca="1">SUM($G$8:G324)*gamma</f>
        <v>1664952.7845252245</v>
      </c>
      <c r="I324" s="23">
        <f ca="1">MAX(0,ROUND($I$7-$H$7-H324-SUM($G$8:G324),0))</f>
        <v>0</v>
      </c>
      <c r="J324" s="208">
        <f t="shared" ca="1" si="33"/>
        <v>316</v>
      </c>
    </row>
    <row r="325" spans="1:10" ht="15.75" customHeight="1" thickBot="1">
      <c r="A325" s="237">
        <f t="shared" ca="1" si="34"/>
        <v>55930</v>
      </c>
      <c r="B325" s="238">
        <f t="shared" ca="1" si="35"/>
        <v>411955</v>
      </c>
      <c r="C325" s="238">
        <f t="shared" ca="1" si="36"/>
        <v>0</v>
      </c>
      <c r="D325" s="155">
        <f t="shared" ca="1" si="37"/>
        <v>317</v>
      </c>
      <c r="E325" s="209">
        <f t="shared" ca="1" si="32"/>
        <v>5</v>
      </c>
      <c r="F325" s="10">
        <f t="shared" ca="1" si="38"/>
        <v>55930</v>
      </c>
      <c r="G325" s="156">
        <f t="shared" ca="1" si="39"/>
        <v>411954.68484413414</v>
      </c>
      <c r="H325" s="156">
        <f ca="1">SUM($G$8:G325)*gamma</f>
        <v>1677311.4250705487</v>
      </c>
      <c r="I325" s="23">
        <f ca="1">MAX(0,ROUND($I$7-$H$7-H325-SUM($G$8:G325),0))</f>
        <v>0</v>
      </c>
      <c r="J325" s="208">
        <f t="shared" ca="1" si="33"/>
        <v>317</v>
      </c>
    </row>
    <row r="326" spans="1:10" ht="15.75" customHeight="1" thickBot="1">
      <c r="A326" s="237">
        <f t="shared" ca="1" si="34"/>
        <v>55958</v>
      </c>
      <c r="B326" s="238">
        <f t="shared" ca="1" si="35"/>
        <v>411955</v>
      </c>
      <c r="C326" s="238">
        <f t="shared" ca="1" si="36"/>
        <v>0</v>
      </c>
      <c r="D326" s="155">
        <f t="shared" ca="1" si="37"/>
        <v>318</v>
      </c>
      <c r="E326" s="209">
        <f t="shared" ca="1" si="32"/>
        <v>6</v>
      </c>
      <c r="F326" s="10">
        <f t="shared" ca="1" si="38"/>
        <v>55958</v>
      </c>
      <c r="G326" s="156">
        <f t="shared" ca="1" si="39"/>
        <v>411954.68484413414</v>
      </c>
      <c r="H326" s="156">
        <f ca="1">SUM($G$8:G326)*gamma</f>
        <v>1689670.0656158726</v>
      </c>
      <c r="I326" s="23">
        <f ca="1">MAX(0,ROUND($I$7-$H$7-H326-SUM($G$8:G326),0))</f>
        <v>0</v>
      </c>
      <c r="J326" s="208">
        <f t="shared" ca="1" si="33"/>
        <v>318</v>
      </c>
    </row>
    <row r="327" spans="1:10" ht="15.75" customHeight="1" thickBot="1">
      <c r="A327" s="237">
        <f t="shared" ca="1" si="34"/>
        <v>55989</v>
      </c>
      <c r="B327" s="238">
        <f t="shared" ca="1" si="35"/>
        <v>411955</v>
      </c>
      <c r="C327" s="238">
        <f t="shared" ca="1" si="36"/>
        <v>0</v>
      </c>
      <c r="D327" s="155">
        <f t="shared" ca="1" si="37"/>
        <v>319</v>
      </c>
      <c r="E327" s="209">
        <f t="shared" ca="1" si="32"/>
        <v>7</v>
      </c>
      <c r="F327" s="10">
        <f t="shared" ca="1" si="38"/>
        <v>55989</v>
      </c>
      <c r="G327" s="156">
        <f t="shared" ca="1" si="39"/>
        <v>411954.68484413414</v>
      </c>
      <c r="H327" s="156">
        <f ca="1">SUM($G$8:G327)*gamma</f>
        <v>1702028.7061611968</v>
      </c>
      <c r="I327" s="23">
        <f ca="1">MAX(0,ROUND($I$7-$H$7-H327-SUM($G$8:G327),0))</f>
        <v>0</v>
      </c>
      <c r="J327" s="208">
        <f t="shared" ca="1" si="33"/>
        <v>319</v>
      </c>
    </row>
    <row r="328" spans="1:10" ht="15.75" customHeight="1" thickBot="1">
      <c r="A328" s="237">
        <f t="shared" ca="1" si="34"/>
        <v>56019</v>
      </c>
      <c r="B328" s="238">
        <f t="shared" ca="1" si="35"/>
        <v>411955</v>
      </c>
      <c r="C328" s="238">
        <f t="shared" ca="1" si="36"/>
        <v>0</v>
      </c>
      <c r="D328" s="155">
        <f t="shared" ca="1" si="37"/>
        <v>320</v>
      </c>
      <c r="E328" s="209">
        <f t="shared" ref="E328:E391" ca="1" si="40">MOD(J328,12)</f>
        <v>8</v>
      </c>
      <c r="F328" s="10">
        <f t="shared" ca="1" si="38"/>
        <v>56019</v>
      </c>
      <c r="G328" s="156">
        <f t="shared" ca="1" si="39"/>
        <v>411954.68484413414</v>
      </c>
      <c r="H328" s="156">
        <f ca="1">SUM($G$8:G328)*gamma</f>
        <v>1714387.3467065208</v>
      </c>
      <c r="I328" s="23">
        <f ca="1">MAX(0,ROUND($I$7-$H$7-H328-SUM($G$8:G328),0))</f>
        <v>0</v>
      </c>
      <c r="J328" s="208">
        <f t="shared" ref="J328:J391" ca="1" si="41">IF(G327&gt;0,1+J327,0)</f>
        <v>320</v>
      </c>
    </row>
    <row r="329" spans="1:10" ht="15.75" customHeight="1" thickBot="1">
      <c r="A329" s="237">
        <f t="shared" ref="A329:A392" ca="1" si="42">IF(d_plast&gt;=F329,F329,"")</f>
        <v>56050</v>
      </c>
      <c r="B329" s="238">
        <f t="shared" ref="B329:B392" ca="1" si="43">IF(A329="","",ROUND(G329,0))</f>
        <v>411955</v>
      </c>
      <c r="C329" s="238">
        <f t="shared" ref="C329:C392" ca="1" si="44">IF(A329&lt;&gt;"",IF(end=2,IF(D329&lt;24,0,I329),I329),"")</f>
        <v>0</v>
      </c>
      <c r="D329" s="155">
        <f t="shared" ref="D329:D392" ca="1" si="45">D328+freq_2</f>
        <v>321</v>
      </c>
      <c r="E329" s="209">
        <f t="shared" ca="1" si="40"/>
        <v>9</v>
      </c>
      <c r="F329" s="10">
        <f t="shared" ref="F329:F392" ca="1" si="46">EDATE($F$8,D329)</f>
        <v>56050</v>
      </c>
      <c r="G329" s="156">
        <f t="shared" ref="G329:G392" ca="1" si="47">IF(A329&lt;d_begin,0,IF(G328=0,Ben,IF(E329=0,G328*(1+index),G328)))</f>
        <v>411954.68484413414</v>
      </c>
      <c r="H329" s="156">
        <f ca="1">SUM($G$8:G329)*gamma</f>
        <v>1726745.987251845</v>
      </c>
      <c r="I329" s="23">
        <f ca="1">MAX(0,ROUND($I$7-$H$7-H329-SUM($G$8:G329),0))</f>
        <v>0</v>
      </c>
      <c r="J329" s="208">
        <f t="shared" ca="1" si="41"/>
        <v>321</v>
      </c>
    </row>
    <row r="330" spans="1:10" ht="15.75" customHeight="1" thickBot="1">
      <c r="A330" s="237">
        <f t="shared" ca="1" si="42"/>
        <v>56080</v>
      </c>
      <c r="B330" s="238">
        <f t="shared" ca="1" si="43"/>
        <v>411955</v>
      </c>
      <c r="C330" s="238">
        <f t="shared" ca="1" si="44"/>
        <v>0</v>
      </c>
      <c r="D330" s="155">
        <f t="shared" ca="1" si="45"/>
        <v>322</v>
      </c>
      <c r="E330" s="209">
        <f t="shared" ca="1" si="40"/>
        <v>10</v>
      </c>
      <c r="F330" s="10">
        <f t="shared" ca="1" si="46"/>
        <v>56080</v>
      </c>
      <c r="G330" s="156">
        <f t="shared" ca="1" si="47"/>
        <v>411954.68484413414</v>
      </c>
      <c r="H330" s="156">
        <f ca="1">SUM($G$8:G330)*gamma</f>
        <v>1739104.6277971689</v>
      </c>
      <c r="I330" s="23">
        <f ca="1">MAX(0,ROUND($I$7-$H$7-H330-SUM($G$8:G330),0))</f>
        <v>0</v>
      </c>
      <c r="J330" s="208">
        <f t="shared" ca="1" si="41"/>
        <v>322</v>
      </c>
    </row>
    <row r="331" spans="1:10" ht="15.75" customHeight="1" thickBot="1">
      <c r="A331" s="237">
        <f t="shared" ca="1" si="42"/>
        <v>56111</v>
      </c>
      <c r="B331" s="238">
        <f t="shared" ca="1" si="43"/>
        <v>411955</v>
      </c>
      <c r="C331" s="238">
        <f t="shared" ca="1" si="44"/>
        <v>0</v>
      </c>
      <c r="D331" s="155">
        <f t="shared" ca="1" si="45"/>
        <v>323</v>
      </c>
      <c r="E331" s="209">
        <f t="shared" ca="1" si="40"/>
        <v>11</v>
      </c>
      <c r="F331" s="10">
        <f t="shared" ca="1" si="46"/>
        <v>56111</v>
      </c>
      <c r="G331" s="156">
        <f t="shared" ca="1" si="47"/>
        <v>411954.68484413414</v>
      </c>
      <c r="H331" s="156">
        <f ca="1">SUM($G$8:G331)*gamma</f>
        <v>1751463.2683424931</v>
      </c>
      <c r="I331" s="23">
        <f ca="1">MAX(0,ROUND($I$7-$H$7-H331-SUM($G$8:G331),0))</f>
        <v>0</v>
      </c>
      <c r="J331" s="208">
        <f t="shared" ca="1" si="41"/>
        <v>323</v>
      </c>
    </row>
    <row r="332" spans="1:10" ht="15.75" customHeight="1" thickBot="1">
      <c r="A332" s="237">
        <f t="shared" ca="1" si="42"/>
        <v>56142</v>
      </c>
      <c r="B332" s="238">
        <f t="shared" ca="1" si="43"/>
        <v>444911</v>
      </c>
      <c r="C332" s="238">
        <f t="shared" ca="1" si="44"/>
        <v>0</v>
      </c>
      <c r="D332" s="155">
        <f t="shared" ca="1" si="45"/>
        <v>324</v>
      </c>
      <c r="E332" s="209">
        <f t="shared" ca="1" si="40"/>
        <v>0</v>
      </c>
      <c r="F332" s="10">
        <f t="shared" ca="1" si="46"/>
        <v>56142</v>
      </c>
      <c r="G332" s="156">
        <f t="shared" ca="1" si="47"/>
        <v>444911.05963166489</v>
      </c>
      <c r="H332" s="156">
        <f ca="1">SUM($G$8:G332)*gamma</f>
        <v>1764810.6001314432</v>
      </c>
      <c r="I332" s="23">
        <f ca="1">MAX(0,ROUND($I$7-$H$7-H332-SUM($G$8:G332),0))</f>
        <v>0</v>
      </c>
      <c r="J332" s="208">
        <f t="shared" ca="1" si="41"/>
        <v>324</v>
      </c>
    </row>
    <row r="333" spans="1:10" ht="15.75" customHeight="1" thickBot="1">
      <c r="A333" s="237">
        <f t="shared" ca="1" si="42"/>
        <v>56172</v>
      </c>
      <c r="B333" s="238">
        <f t="shared" ca="1" si="43"/>
        <v>444911</v>
      </c>
      <c r="C333" s="238">
        <f t="shared" ca="1" si="44"/>
        <v>0</v>
      </c>
      <c r="D333" s="155">
        <f t="shared" ca="1" si="45"/>
        <v>325</v>
      </c>
      <c r="E333" s="209">
        <f t="shared" ca="1" si="40"/>
        <v>1</v>
      </c>
      <c r="F333" s="10">
        <f t="shared" ca="1" si="46"/>
        <v>56172</v>
      </c>
      <c r="G333" s="156">
        <f t="shared" ca="1" si="47"/>
        <v>444911.05963166489</v>
      </c>
      <c r="H333" s="156">
        <f ca="1">SUM($G$8:G333)*gamma</f>
        <v>1778157.9319203931</v>
      </c>
      <c r="I333" s="23">
        <f ca="1">MAX(0,ROUND($I$7-$H$7-H333-SUM($G$8:G333),0))</f>
        <v>0</v>
      </c>
      <c r="J333" s="208">
        <f t="shared" ca="1" si="41"/>
        <v>325</v>
      </c>
    </row>
    <row r="334" spans="1:10" ht="15.75" customHeight="1" thickBot="1">
      <c r="A334" s="237">
        <f t="shared" ca="1" si="42"/>
        <v>56203</v>
      </c>
      <c r="B334" s="238">
        <f t="shared" ca="1" si="43"/>
        <v>444911</v>
      </c>
      <c r="C334" s="238">
        <f t="shared" ca="1" si="44"/>
        <v>0</v>
      </c>
      <c r="D334" s="155">
        <f t="shared" ca="1" si="45"/>
        <v>326</v>
      </c>
      <c r="E334" s="209">
        <f t="shared" ca="1" si="40"/>
        <v>2</v>
      </c>
      <c r="F334" s="10">
        <f t="shared" ca="1" si="46"/>
        <v>56203</v>
      </c>
      <c r="G334" s="156">
        <f t="shared" ca="1" si="47"/>
        <v>444911.05963166489</v>
      </c>
      <c r="H334" s="156">
        <f ca="1">SUM($G$8:G334)*gamma</f>
        <v>1791505.2637093433</v>
      </c>
      <c r="I334" s="23">
        <f ca="1">MAX(0,ROUND($I$7-$H$7-H334-SUM($G$8:G334),0))</f>
        <v>0</v>
      </c>
      <c r="J334" s="208">
        <f t="shared" ca="1" si="41"/>
        <v>326</v>
      </c>
    </row>
    <row r="335" spans="1:10" ht="15.75" customHeight="1" thickBot="1">
      <c r="A335" s="237">
        <f t="shared" ca="1" si="42"/>
        <v>56233</v>
      </c>
      <c r="B335" s="238">
        <f t="shared" ca="1" si="43"/>
        <v>444911</v>
      </c>
      <c r="C335" s="238">
        <f t="shared" ca="1" si="44"/>
        <v>0</v>
      </c>
      <c r="D335" s="155">
        <f t="shared" ca="1" si="45"/>
        <v>327</v>
      </c>
      <c r="E335" s="209">
        <f t="shared" ca="1" si="40"/>
        <v>3</v>
      </c>
      <c r="F335" s="10">
        <f t="shared" ca="1" si="46"/>
        <v>56233</v>
      </c>
      <c r="G335" s="156">
        <f t="shared" ca="1" si="47"/>
        <v>444911.05963166489</v>
      </c>
      <c r="H335" s="156">
        <f ca="1">SUM($G$8:G335)*gamma</f>
        <v>1804852.5954982932</v>
      </c>
      <c r="I335" s="23">
        <f ca="1">MAX(0,ROUND($I$7-$H$7-H335-SUM($G$8:G335),0))</f>
        <v>0</v>
      </c>
      <c r="J335" s="208">
        <f t="shared" ca="1" si="41"/>
        <v>327</v>
      </c>
    </row>
    <row r="336" spans="1:10" ht="15.75" customHeight="1" thickBot="1">
      <c r="A336" s="237">
        <f t="shared" ca="1" si="42"/>
        <v>56264</v>
      </c>
      <c r="B336" s="238">
        <f t="shared" ca="1" si="43"/>
        <v>444911</v>
      </c>
      <c r="C336" s="238">
        <f t="shared" ca="1" si="44"/>
        <v>0</v>
      </c>
      <c r="D336" s="155">
        <f t="shared" ca="1" si="45"/>
        <v>328</v>
      </c>
      <c r="E336" s="209">
        <f t="shared" ca="1" si="40"/>
        <v>4</v>
      </c>
      <c r="F336" s="10">
        <f t="shared" ca="1" si="46"/>
        <v>56264</v>
      </c>
      <c r="G336" s="156">
        <f t="shared" ca="1" si="47"/>
        <v>444911.05963166489</v>
      </c>
      <c r="H336" s="156">
        <f ca="1">SUM($G$8:G336)*gamma</f>
        <v>1818199.9272872433</v>
      </c>
      <c r="I336" s="23">
        <f ca="1">MAX(0,ROUND($I$7-$H$7-H336-SUM($G$8:G336),0))</f>
        <v>0</v>
      </c>
      <c r="J336" s="208">
        <f t="shared" ca="1" si="41"/>
        <v>328</v>
      </c>
    </row>
    <row r="337" spans="1:10" ht="15.75" customHeight="1" thickBot="1">
      <c r="A337" s="237">
        <f t="shared" ca="1" si="42"/>
        <v>56295</v>
      </c>
      <c r="B337" s="238">
        <f t="shared" ca="1" si="43"/>
        <v>444911</v>
      </c>
      <c r="C337" s="238">
        <f t="shared" ca="1" si="44"/>
        <v>0</v>
      </c>
      <c r="D337" s="155">
        <f t="shared" ca="1" si="45"/>
        <v>329</v>
      </c>
      <c r="E337" s="209">
        <f t="shared" ca="1" si="40"/>
        <v>5</v>
      </c>
      <c r="F337" s="10">
        <f t="shared" ca="1" si="46"/>
        <v>56295</v>
      </c>
      <c r="G337" s="156">
        <f t="shared" ca="1" si="47"/>
        <v>444911.05963166489</v>
      </c>
      <c r="H337" s="156">
        <f ca="1">SUM($G$8:G337)*gamma</f>
        <v>1831547.2590761934</v>
      </c>
      <c r="I337" s="23">
        <f ca="1">MAX(0,ROUND($I$7-$H$7-H337-SUM($G$8:G337),0))</f>
        <v>0</v>
      </c>
      <c r="J337" s="208">
        <f t="shared" ca="1" si="41"/>
        <v>329</v>
      </c>
    </row>
    <row r="338" spans="1:10" ht="15.75" customHeight="1" thickBot="1">
      <c r="A338" s="237">
        <f t="shared" ca="1" si="42"/>
        <v>56323</v>
      </c>
      <c r="B338" s="238">
        <f t="shared" ca="1" si="43"/>
        <v>444911</v>
      </c>
      <c r="C338" s="238">
        <f t="shared" ca="1" si="44"/>
        <v>0</v>
      </c>
      <c r="D338" s="155">
        <f t="shared" ca="1" si="45"/>
        <v>330</v>
      </c>
      <c r="E338" s="209">
        <f t="shared" ca="1" si="40"/>
        <v>6</v>
      </c>
      <c r="F338" s="10">
        <f t="shared" ca="1" si="46"/>
        <v>56323</v>
      </c>
      <c r="G338" s="156">
        <f t="shared" ca="1" si="47"/>
        <v>444911.05963166489</v>
      </c>
      <c r="H338" s="156">
        <f ca="1">SUM($G$8:G338)*gamma</f>
        <v>1844894.5908651433</v>
      </c>
      <c r="I338" s="23">
        <f ca="1">MAX(0,ROUND($I$7-$H$7-H338-SUM($G$8:G338),0))</f>
        <v>0</v>
      </c>
      <c r="J338" s="208">
        <f t="shared" ca="1" si="41"/>
        <v>330</v>
      </c>
    </row>
    <row r="339" spans="1:10" ht="15.75" customHeight="1" thickBot="1">
      <c r="A339" s="237">
        <f t="shared" ca="1" si="42"/>
        <v>56354</v>
      </c>
      <c r="B339" s="238">
        <f t="shared" ca="1" si="43"/>
        <v>444911</v>
      </c>
      <c r="C339" s="238">
        <f t="shared" ca="1" si="44"/>
        <v>0</v>
      </c>
      <c r="D339" s="155">
        <f t="shared" ca="1" si="45"/>
        <v>331</v>
      </c>
      <c r="E339" s="209">
        <f t="shared" ca="1" si="40"/>
        <v>7</v>
      </c>
      <c r="F339" s="10">
        <f t="shared" ca="1" si="46"/>
        <v>56354</v>
      </c>
      <c r="G339" s="156">
        <f t="shared" ca="1" si="47"/>
        <v>444911.05963166489</v>
      </c>
      <c r="H339" s="156">
        <f ca="1">SUM($G$8:G339)*gamma</f>
        <v>1858241.9226540935</v>
      </c>
      <c r="I339" s="23">
        <f ca="1">MAX(0,ROUND($I$7-$H$7-H339-SUM($G$8:G339),0))</f>
        <v>0</v>
      </c>
      <c r="J339" s="208">
        <f t="shared" ca="1" si="41"/>
        <v>331</v>
      </c>
    </row>
    <row r="340" spans="1:10" ht="15.75" customHeight="1" thickBot="1">
      <c r="A340" s="237">
        <f t="shared" ca="1" si="42"/>
        <v>56384</v>
      </c>
      <c r="B340" s="238">
        <f t="shared" ca="1" si="43"/>
        <v>444911</v>
      </c>
      <c r="C340" s="238">
        <f t="shared" ca="1" si="44"/>
        <v>0</v>
      </c>
      <c r="D340" s="155">
        <f t="shared" ca="1" si="45"/>
        <v>332</v>
      </c>
      <c r="E340" s="209">
        <f t="shared" ca="1" si="40"/>
        <v>8</v>
      </c>
      <c r="F340" s="10">
        <f t="shared" ca="1" si="46"/>
        <v>56384</v>
      </c>
      <c r="G340" s="156">
        <f t="shared" ca="1" si="47"/>
        <v>444911.05963166489</v>
      </c>
      <c r="H340" s="156">
        <f ca="1">SUM($G$8:G340)*gamma</f>
        <v>1871589.2544430434</v>
      </c>
      <c r="I340" s="23">
        <f ca="1">MAX(0,ROUND($I$7-$H$7-H340-SUM($G$8:G340),0))</f>
        <v>0</v>
      </c>
      <c r="J340" s="208">
        <f t="shared" ca="1" si="41"/>
        <v>332</v>
      </c>
    </row>
    <row r="341" spans="1:10" ht="15.75" customHeight="1" thickBot="1">
      <c r="A341" s="237">
        <f t="shared" ca="1" si="42"/>
        <v>56415</v>
      </c>
      <c r="B341" s="238">
        <f t="shared" ca="1" si="43"/>
        <v>444911</v>
      </c>
      <c r="C341" s="238">
        <f t="shared" ca="1" si="44"/>
        <v>0</v>
      </c>
      <c r="D341" s="155">
        <f t="shared" ca="1" si="45"/>
        <v>333</v>
      </c>
      <c r="E341" s="209">
        <f t="shared" ca="1" si="40"/>
        <v>9</v>
      </c>
      <c r="F341" s="10">
        <f t="shared" ca="1" si="46"/>
        <v>56415</v>
      </c>
      <c r="G341" s="156">
        <f t="shared" ca="1" si="47"/>
        <v>444911.05963166489</v>
      </c>
      <c r="H341" s="156">
        <f ca="1">SUM($G$8:G341)*gamma</f>
        <v>1884936.5862319935</v>
      </c>
      <c r="I341" s="23">
        <f ca="1">MAX(0,ROUND($I$7-$H$7-H341-SUM($G$8:G341),0))</f>
        <v>0</v>
      </c>
      <c r="J341" s="208">
        <f t="shared" ca="1" si="41"/>
        <v>333</v>
      </c>
    </row>
    <row r="342" spans="1:10" ht="15.75" customHeight="1" thickBot="1">
      <c r="A342" s="237">
        <f t="shared" ca="1" si="42"/>
        <v>56445</v>
      </c>
      <c r="B342" s="238">
        <f t="shared" ca="1" si="43"/>
        <v>444911</v>
      </c>
      <c r="C342" s="238">
        <f t="shared" ca="1" si="44"/>
        <v>0</v>
      </c>
      <c r="D342" s="155">
        <f t="shared" ca="1" si="45"/>
        <v>334</v>
      </c>
      <c r="E342" s="209">
        <f t="shared" ca="1" si="40"/>
        <v>10</v>
      </c>
      <c r="F342" s="10">
        <f t="shared" ca="1" si="46"/>
        <v>56445</v>
      </c>
      <c r="G342" s="156">
        <f t="shared" ca="1" si="47"/>
        <v>444911.05963166489</v>
      </c>
      <c r="H342" s="156">
        <f ca="1">SUM($G$8:G342)*gamma</f>
        <v>1898283.9180209436</v>
      </c>
      <c r="I342" s="23">
        <f ca="1">MAX(0,ROUND($I$7-$H$7-H342-SUM($G$8:G342),0))</f>
        <v>0</v>
      </c>
      <c r="J342" s="208">
        <f t="shared" ca="1" si="41"/>
        <v>334</v>
      </c>
    </row>
    <row r="343" spans="1:10" ht="15.75" customHeight="1" thickBot="1">
      <c r="A343" s="237">
        <f t="shared" ca="1" si="42"/>
        <v>56476</v>
      </c>
      <c r="B343" s="238">
        <f t="shared" ca="1" si="43"/>
        <v>444911</v>
      </c>
      <c r="C343" s="238">
        <f t="shared" ca="1" si="44"/>
        <v>0</v>
      </c>
      <c r="D343" s="155">
        <f t="shared" ca="1" si="45"/>
        <v>335</v>
      </c>
      <c r="E343" s="209">
        <f t="shared" ca="1" si="40"/>
        <v>11</v>
      </c>
      <c r="F343" s="10">
        <f t="shared" ca="1" si="46"/>
        <v>56476</v>
      </c>
      <c r="G343" s="156">
        <f t="shared" ca="1" si="47"/>
        <v>444911.05963166489</v>
      </c>
      <c r="H343" s="156">
        <f ca="1">SUM($G$8:G343)*gamma</f>
        <v>1911631.2498098935</v>
      </c>
      <c r="I343" s="23">
        <f ca="1">MAX(0,ROUND($I$7-$H$7-H343-SUM($G$8:G343),0))</f>
        <v>0</v>
      </c>
      <c r="J343" s="208">
        <f t="shared" ca="1" si="41"/>
        <v>335</v>
      </c>
    </row>
    <row r="344" spans="1:10" ht="15.75" customHeight="1" thickBot="1">
      <c r="A344" s="237">
        <f t="shared" ca="1" si="42"/>
        <v>56507</v>
      </c>
      <c r="B344" s="238">
        <f t="shared" ca="1" si="43"/>
        <v>480504</v>
      </c>
      <c r="C344" s="238">
        <f t="shared" ca="1" si="44"/>
        <v>0</v>
      </c>
      <c r="D344" s="155">
        <f t="shared" ca="1" si="45"/>
        <v>336</v>
      </c>
      <c r="E344" s="209">
        <f t="shared" ca="1" si="40"/>
        <v>0</v>
      </c>
      <c r="F344" s="10">
        <f t="shared" ca="1" si="46"/>
        <v>56507</v>
      </c>
      <c r="G344" s="156">
        <f t="shared" ca="1" si="47"/>
        <v>480503.94440219813</v>
      </c>
      <c r="H344" s="156">
        <f ca="1">SUM($G$8:G344)*gamma</f>
        <v>1926046.3681419594</v>
      </c>
      <c r="I344" s="23">
        <f ca="1">MAX(0,ROUND($I$7-$H$7-H344-SUM($G$8:G344),0))</f>
        <v>0</v>
      </c>
      <c r="J344" s="208">
        <f t="shared" ca="1" si="41"/>
        <v>336</v>
      </c>
    </row>
    <row r="345" spans="1:10" ht="15.75" customHeight="1" thickBot="1">
      <c r="A345" s="237">
        <f t="shared" ca="1" si="42"/>
        <v>56537</v>
      </c>
      <c r="B345" s="238">
        <f t="shared" ca="1" si="43"/>
        <v>480504</v>
      </c>
      <c r="C345" s="238">
        <f t="shared" ca="1" si="44"/>
        <v>0</v>
      </c>
      <c r="D345" s="155">
        <f t="shared" ca="1" si="45"/>
        <v>337</v>
      </c>
      <c r="E345" s="209">
        <f t="shared" ca="1" si="40"/>
        <v>1</v>
      </c>
      <c r="F345" s="10">
        <f t="shared" ca="1" si="46"/>
        <v>56537</v>
      </c>
      <c r="G345" s="156">
        <f t="shared" ca="1" si="47"/>
        <v>480503.94440219813</v>
      </c>
      <c r="H345" s="156">
        <f ca="1">SUM($G$8:G345)*gamma</f>
        <v>1940461.4864740253</v>
      </c>
      <c r="I345" s="23">
        <f ca="1">MAX(0,ROUND($I$7-$H$7-H345-SUM($G$8:G345),0))</f>
        <v>0</v>
      </c>
      <c r="J345" s="208">
        <f t="shared" ca="1" si="41"/>
        <v>337</v>
      </c>
    </row>
    <row r="346" spans="1:10" ht="15.75" customHeight="1" thickBot="1">
      <c r="A346" s="237">
        <f t="shared" ca="1" si="42"/>
        <v>56568</v>
      </c>
      <c r="B346" s="238">
        <f t="shared" ca="1" si="43"/>
        <v>480504</v>
      </c>
      <c r="C346" s="238">
        <f t="shared" ca="1" si="44"/>
        <v>0</v>
      </c>
      <c r="D346" s="155">
        <f t="shared" ca="1" si="45"/>
        <v>338</v>
      </c>
      <c r="E346" s="209">
        <f t="shared" ca="1" si="40"/>
        <v>2</v>
      </c>
      <c r="F346" s="10">
        <f t="shared" ca="1" si="46"/>
        <v>56568</v>
      </c>
      <c r="G346" s="156">
        <f t="shared" ca="1" si="47"/>
        <v>480503.94440219813</v>
      </c>
      <c r="H346" s="156">
        <f ca="1">SUM($G$8:G346)*gamma</f>
        <v>1954876.6048060912</v>
      </c>
      <c r="I346" s="23">
        <f ca="1">MAX(0,ROUND($I$7-$H$7-H346-SUM($G$8:G346),0))</f>
        <v>0</v>
      </c>
      <c r="J346" s="208">
        <f t="shared" ca="1" si="41"/>
        <v>338</v>
      </c>
    </row>
    <row r="347" spans="1:10" ht="15.75" customHeight="1" thickBot="1">
      <c r="A347" s="237">
        <f t="shared" ca="1" si="42"/>
        <v>56598</v>
      </c>
      <c r="B347" s="238">
        <f t="shared" ca="1" si="43"/>
        <v>480504</v>
      </c>
      <c r="C347" s="238">
        <f t="shared" ca="1" si="44"/>
        <v>0</v>
      </c>
      <c r="D347" s="155">
        <f t="shared" ca="1" si="45"/>
        <v>339</v>
      </c>
      <c r="E347" s="209">
        <f t="shared" ca="1" si="40"/>
        <v>3</v>
      </c>
      <c r="F347" s="10">
        <f t="shared" ca="1" si="46"/>
        <v>56598</v>
      </c>
      <c r="G347" s="156">
        <f t="shared" ca="1" si="47"/>
        <v>480503.94440219813</v>
      </c>
      <c r="H347" s="156">
        <f ca="1">SUM($G$8:G347)*gamma</f>
        <v>1969291.723138157</v>
      </c>
      <c r="I347" s="23">
        <f ca="1">MAX(0,ROUND($I$7-$H$7-H347-SUM($G$8:G347),0))</f>
        <v>0</v>
      </c>
      <c r="J347" s="208">
        <f t="shared" ca="1" si="41"/>
        <v>339</v>
      </c>
    </row>
    <row r="348" spans="1:10" ht="15.75" customHeight="1" thickBot="1">
      <c r="A348" s="237">
        <f t="shared" ca="1" si="42"/>
        <v>56629</v>
      </c>
      <c r="B348" s="238">
        <f t="shared" ca="1" si="43"/>
        <v>480504</v>
      </c>
      <c r="C348" s="238">
        <f t="shared" ca="1" si="44"/>
        <v>0</v>
      </c>
      <c r="D348" s="155">
        <f t="shared" ca="1" si="45"/>
        <v>340</v>
      </c>
      <c r="E348" s="209">
        <f t="shared" ca="1" si="40"/>
        <v>4</v>
      </c>
      <c r="F348" s="10">
        <f t="shared" ca="1" si="46"/>
        <v>56629</v>
      </c>
      <c r="G348" s="156">
        <f t="shared" ca="1" si="47"/>
        <v>480503.94440219813</v>
      </c>
      <c r="H348" s="156">
        <f ca="1">SUM($G$8:G348)*gamma</f>
        <v>1983706.8414702229</v>
      </c>
      <c r="I348" s="23">
        <f ca="1">MAX(0,ROUND($I$7-$H$7-H348-SUM($G$8:G348),0))</f>
        <v>0</v>
      </c>
      <c r="J348" s="208">
        <f t="shared" ca="1" si="41"/>
        <v>340</v>
      </c>
    </row>
    <row r="349" spans="1:10" ht="15.75" customHeight="1" thickBot="1">
      <c r="A349" s="237">
        <f t="shared" ca="1" si="42"/>
        <v>56660</v>
      </c>
      <c r="B349" s="238">
        <f t="shared" ca="1" si="43"/>
        <v>480504</v>
      </c>
      <c r="C349" s="238">
        <f t="shared" ca="1" si="44"/>
        <v>0</v>
      </c>
      <c r="D349" s="155">
        <f t="shared" ca="1" si="45"/>
        <v>341</v>
      </c>
      <c r="E349" s="209">
        <f t="shared" ca="1" si="40"/>
        <v>5</v>
      </c>
      <c r="F349" s="10">
        <f t="shared" ca="1" si="46"/>
        <v>56660</v>
      </c>
      <c r="G349" s="156">
        <f t="shared" ca="1" si="47"/>
        <v>480503.94440219813</v>
      </c>
      <c r="H349" s="156">
        <f ca="1">SUM($G$8:G349)*gamma</f>
        <v>1998121.9598022888</v>
      </c>
      <c r="I349" s="23">
        <f ca="1">MAX(0,ROUND($I$7-$H$7-H349-SUM($G$8:G349),0))</f>
        <v>0</v>
      </c>
      <c r="J349" s="208">
        <f t="shared" ca="1" si="41"/>
        <v>341</v>
      </c>
    </row>
    <row r="350" spans="1:10" ht="15.75" customHeight="1" thickBot="1">
      <c r="A350" s="237">
        <f t="shared" ca="1" si="42"/>
        <v>56688</v>
      </c>
      <c r="B350" s="238">
        <f t="shared" ca="1" si="43"/>
        <v>480504</v>
      </c>
      <c r="C350" s="238">
        <f t="shared" ca="1" si="44"/>
        <v>0</v>
      </c>
      <c r="D350" s="155">
        <f t="shared" ca="1" si="45"/>
        <v>342</v>
      </c>
      <c r="E350" s="209">
        <f t="shared" ca="1" si="40"/>
        <v>6</v>
      </c>
      <c r="F350" s="10">
        <f t="shared" ca="1" si="46"/>
        <v>56688</v>
      </c>
      <c r="G350" s="156">
        <f t="shared" ca="1" si="47"/>
        <v>480503.94440219813</v>
      </c>
      <c r="H350" s="156">
        <f ca="1">SUM($G$8:G350)*gamma</f>
        <v>2012537.0781343547</v>
      </c>
      <c r="I350" s="23">
        <f ca="1">MAX(0,ROUND($I$7-$H$7-H350-SUM($G$8:G350),0))</f>
        <v>0</v>
      </c>
      <c r="J350" s="208">
        <f t="shared" ca="1" si="41"/>
        <v>342</v>
      </c>
    </row>
    <row r="351" spans="1:10" ht="15.75" customHeight="1" thickBot="1">
      <c r="A351" s="237">
        <f t="shared" ca="1" si="42"/>
        <v>56719</v>
      </c>
      <c r="B351" s="238">
        <f t="shared" ca="1" si="43"/>
        <v>480504</v>
      </c>
      <c r="C351" s="238">
        <f t="shared" ca="1" si="44"/>
        <v>0</v>
      </c>
      <c r="D351" s="155">
        <f t="shared" ca="1" si="45"/>
        <v>343</v>
      </c>
      <c r="E351" s="209">
        <f t="shared" ca="1" si="40"/>
        <v>7</v>
      </c>
      <c r="F351" s="10">
        <f t="shared" ca="1" si="46"/>
        <v>56719</v>
      </c>
      <c r="G351" s="156">
        <f t="shared" ca="1" si="47"/>
        <v>480503.94440219813</v>
      </c>
      <c r="H351" s="156">
        <f ca="1">SUM($G$8:G351)*gamma</f>
        <v>2026952.1964664205</v>
      </c>
      <c r="I351" s="23">
        <f ca="1">MAX(0,ROUND($I$7-$H$7-H351-SUM($G$8:G351),0))</f>
        <v>0</v>
      </c>
      <c r="J351" s="208">
        <f t="shared" ca="1" si="41"/>
        <v>343</v>
      </c>
    </row>
    <row r="352" spans="1:10" ht="15.75" customHeight="1" thickBot="1">
      <c r="A352" s="237">
        <f t="shared" ca="1" si="42"/>
        <v>56749</v>
      </c>
      <c r="B352" s="238">
        <f t="shared" ca="1" si="43"/>
        <v>480504</v>
      </c>
      <c r="C352" s="238">
        <f t="shared" ca="1" si="44"/>
        <v>0</v>
      </c>
      <c r="D352" s="155">
        <f t="shared" ca="1" si="45"/>
        <v>344</v>
      </c>
      <c r="E352" s="209">
        <f t="shared" ca="1" si="40"/>
        <v>8</v>
      </c>
      <c r="F352" s="10">
        <f t="shared" ca="1" si="46"/>
        <v>56749</v>
      </c>
      <c r="G352" s="156">
        <f t="shared" ca="1" si="47"/>
        <v>480503.94440219813</v>
      </c>
      <c r="H352" s="156">
        <f ca="1">SUM($G$8:G352)*gamma</f>
        <v>2041367.3147984867</v>
      </c>
      <c r="I352" s="23">
        <f ca="1">MAX(0,ROUND($I$7-$H$7-H352-SUM($G$8:G352),0))</f>
        <v>0</v>
      </c>
      <c r="J352" s="208">
        <f t="shared" ca="1" si="41"/>
        <v>344</v>
      </c>
    </row>
    <row r="353" spans="1:10" ht="15.75" customHeight="1" thickBot="1">
      <c r="A353" s="237">
        <f t="shared" ca="1" si="42"/>
        <v>56780</v>
      </c>
      <c r="B353" s="238">
        <f t="shared" ca="1" si="43"/>
        <v>480504</v>
      </c>
      <c r="C353" s="238">
        <f t="shared" ca="1" si="44"/>
        <v>0</v>
      </c>
      <c r="D353" s="155">
        <f t="shared" ca="1" si="45"/>
        <v>345</v>
      </c>
      <c r="E353" s="209">
        <f t="shared" ca="1" si="40"/>
        <v>9</v>
      </c>
      <c r="F353" s="10">
        <f t="shared" ca="1" si="46"/>
        <v>56780</v>
      </c>
      <c r="G353" s="156">
        <f t="shared" ca="1" si="47"/>
        <v>480503.94440219813</v>
      </c>
      <c r="H353" s="156">
        <f ca="1">SUM($G$8:G353)*gamma</f>
        <v>2055782.4331305528</v>
      </c>
      <c r="I353" s="23">
        <f ca="1">MAX(0,ROUND($I$7-$H$7-H353-SUM($G$8:G353),0))</f>
        <v>0</v>
      </c>
      <c r="J353" s="208">
        <f t="shared" ca="1" si="41"/>
        <v>345</v>
      </c>
    </row>
    <row r="354" spans="1:10" ht="15.75" customHeight="1" thickBot="1">
      <c r="A354" s="237">
        <f t="shared" ca="1" si="42"/>
        <v>56810</v>
      </c>
      <c r="B354" s="238">
        <f t="shared" ca="1" si="43"/>
        <v>480504</v>
      </c>
      <c r="C354" s="238">
        <f t="shared" ca="1" si="44"/>
        <v>0</v>
      </c>
      <c r="D354" s="155">
        <f t="shared" ca="1" si="45"/>
        <v>346</v>
      </c>
      <c r="E354" s="209">
        <f t="shared" ca="1" si="40"/>
        <v>10</v>
      </c>
      <c r="F354" s="10">
        <f t="shared" ca="1" si="46"/>
        <v>56810</v>
      </c>
      <c r="G354" s="156">
        <f t="shared" ca="1" si="47"/>
        <v>480503.94440219813</v>
      </c>
      <c r="H354" s="156">
        <f ca="1">SUM($G$8:G354)*gamma</f>
        <v>2070197.5514626189</v>
      </c>
      <c r="I354" s="23">
        <f ca="1">MAX(0,ROUND($I$7-$H$7-H354-SUM($G$8:G354),0))</f>
        <v>0</v>
      </c>
      <c r="J354" s="208">
        <f t="shared" ca="1" si="41"/>
        <v>346</v>
      </c>
    </row>
    <row r="355" spans="1:10" ht="15.75" customHeight="1" thickBot="1">
      <c r="A355" s="237">
        <f t="shared" ca="1" si="42"/>
        <v>56841</v>
      </c>
      <c r="B355" s="238">
        <f t="shared" ca="1" si="43"/>
        <v>480504</v>
      </c>
      <c r="C355" s="238">
        <f t="shared" ca="1" si="44"/>
        <v>0</v>
      </c>
      <c r="D355" s="155">
        <f t="shared" ca="1" si="45"/>
        <v>347</v>
      </c>
      <c r="E355" s="209">
        <f t="shared" ca="1" si="40"/>
        <v>11</v>
      </c>
      <c r="F355" s="10">
        <f t="shared" ca="1" si="46"/>
        <v>56841</v>
      </c>
      <c r="G355" s="156">
        <f t="shared" ca="1" si="47"/>
        <v>480503.94440219813</v>
      </c>
      <c r="H355" s="156">
        <f ca="1">SUM($G$8:G355)*gamma</f>
        <v>2084612.669794685</v>
      </c>
      <c r="I355" s="23">
        <f ca="1">MAX(0,ROUND($I$7-$H$7-H355-SUM($G$8:G355),0))</f>
        <v>0</v>
      </c>
      <c r="J355" s="208">
        <f t="shared" ca="1" si="41"/>
        <v>347</v>
      </c>
    </row>
    <row r="356" spans="1:10" ht="15.75" customHeight="1" thickBot="1">
      <c r="A356" s="237">
        <f t="shared" ca="1" si="42"/>
        <v>56872</v>
      </c>
      <c r="B356" s="238">
        <f t="shared" ca="1" si="43"/>
        <v>518944</v>
      </c>
      <c r="C356" s="238">
        <f t="shared" ca="1" si="44"/>
        <v>0</v>
      </c>
      <c r="D356" s="155">
        <f t="shared" ca="1" si="45"/>
        <v>348</v>
      </c>
      <c r="E356" s="209">
        <f t="shared" ca="1" si="40"/>
        <v>0</v>
      </c>
      <c r="F356" s="10">
        <f t="shared" ca="1" si="46"/>
        <v>56872</v>
      </c>
      <c r="G356" s="156">
        <f t="shared" ca="1" si="47"/>
        <v>518944.25995437399</v>
      </c>
      <c r="H356" s="156">
        <f ca="1">SUM($G$8:G356)*gamma</f>
        <v>2100180.9975933162</v>
      </c>
      <c r="I356" s="23">
        <f ca="1">MAX(0,ROUND($I$7-$H$7-H356-SUM($G$8:G356),0))</f>
        <v>0</v>
      </c>
      <c r="J356" s="208">
        <f t="shared" ca="1" si="41"/>
        <v>348</v>
      </c>
    </row>
    <row r="357" spans="1:10" ht="15.75" customHeight="1" thickBot="1">
      <c r="A357" s="237">
        <f t="shared" ca="1" si="42"/>
        <v>56902</v>
      </c>
      <c r="B357" s="238">
        <f t="shared" ca="1" si="43"/>
        <v>518944</v>
      </c>
      <c r="C357" s="238">
        <f t="shared" ca="1" si="44"/>
        <v>0</v>
      </c>
      <c r="D357" s="155">
        <f t="shared" ca="1" si="45"/>
        <v>349</v>
      </c>
      <c r="E357" s="209">
        <f t="shared" ca="1" si="40"/>
        <v>1</v>
      </c>
      <c r="F357" s="10">
        <f t="shared" ca="1" si="46"/>
        <v>56902</v>
      </c>
      <c r="G357" s="156">
        <f t="shared" ca="1" si="47"/>
        <v>518944.25995437399</v>
      </c>
      <c r="H357" s="156">
        <f ca="1">SUM($G$8:G357)*gamma</f>
        <v>2115749.3253919478</v>
      </c>
      <c r="I357" s="23">
        <f ca="1">MAX(0,ROUND($I$7-$H$7-H357-SUM($G$8:G357),0))</f>
        <v>0</v>
      </c>
      <c r="J357" s="208">
        <f t="shared" ca="1" si="41"/>
        <v>349</v>
      </c>
    </row>
    <row r="358" spans="1:10" ht="15.75" customHeight="1" thickBot="1">
      <c r="A358" s="237">
        <f t="shared" ca="1" si="42"/>
        <v>56933</v>
      </c>
      <c r="B358" s="238">
        <f t="shared" ca="1" si="43"/>
        <v>518944</v>
      </c>
      <c r="C358" s="238">
        <f t="shared" ca="1" si="44"/>
        <v>0</v>
      </c>
      <c r="D358" s="155">
        <f t="shared" ca="1" si="45"/>
        <v>350</v>
      </c>
      <c r="E358" s="209">
        <f t="shared" ca="1" si="40"/>
        <v>2</v>
      </c>
      <c r="F358" s="10">
        <f t="shared" ca="1" si="46"/>
        <v>56933</v>
      </c>
      <c r="G358" s="156">
        <f t="shared" ca="1" si="47"/>
        <v>518944.25995437399</v>
      </c>
      <c r="H358" s="156">
        <f ca="1">SUM($G$8:G358)*gamma</f>
        <v>2131317.6531905788</v>
      </c>
      <c r="I358" s="23">
        <f ca="1">MAX(0,ROUND($I$7-$H$7-H358-SUM($G$8:G358),0))</f>
        <v>0</v>
      </c>
      <c r="J358" s="208">
        <f t="shared" ca="1" si="41"/>
        <v>350</v>
      </c>
    </row>
    <row r="359" spans="1:10" ht="15.75" customHeight="1" thickBot="1">
      <c r="A359" s="237">
        <f t="shared" ca="1" si="42"/>
        <v>56963</v>
      </c>
      <c r="B359" s="238">
        <f t="shared" ca="1" si="43"/>
        <v>518944</v>
      </c>
      <c r="C359" s="238">
        <f t="shared" ca="1" si="44"/>
        <v>0</v>
      </c>
      <c r="D359" s="155">
        <f t="shared" ca="1" si="45"/>
        <v>351</v>
      </c>
      <c r="E359" s="209">
        <f t="shared" ca="1" si="40"/>
        <v>3</v>
      </c>
      <c r="F359" s="10">
        <f t="shared" ca="1" si="46"/>
        <v>56963</v>
      </c>
      <c r="G359" s="156">
        <f t="shared" ca="1" si="47"/>
        <v>518944.25995437399</v>
      </c>
      <c r="H359" s="156">
        <f ca="1">SUM($G$8:G359)*gamma</f>
        <v>2146885.9809892103</v>
      </c>
      <c r="I359" s="23">
        <f ca="1">MAX(0,ROUND($I$7-$H$7-H359-SUM($G$8:G359),0))</f>
        <v>0</v>
      </c>
      <c r="J359" s="208">
        <f t="shared" ca="1" si="41"/>
        <v>351</v>
      </c>
    </row>
    <row r="360" spans="1:10" ht="15.75" customHeight="1" thickBot="1">
      <c r="A360" s="237">
        <f t="shared" ca="1" si="42"/>
        <v>56994</v>
      </c>
      <c r="B360" s="238">
        <f t="shared" ca="1" si="43"/>
        <v>518944</v>
      </c>
      <c r="C360" s="238">
        <f t="shared" ca="1" si="44"/>
        <v>0</v>
      </c>
      <c r="D360" s="155">
        <f t="shared" ca="1" si="45"/>
        <v>352</v>
      </c>
      <c r="E360" s="209">
        <f t="shared" ca="1" si="40"/>
        <v>4</v>
      </c>
      <c r="F360" s="10">
        <f t="shared" ca="1" si="46"/>
        <v>56994</v>
      </c>
      <c r="G360" s="156">
        <f t="shared" ca="1" si="47"/>
        <v>518944.25995437399</v>
      </c>
      <c r="H360" s="156">
        <f ca="1">SUM($G$8:G360)*gamma</f>
        <v>2162454.3087878413</v>
      </c>
      <c r="I360" s="23">
        <f ca="1">MAX(0,ROUND($I$7-$H$7-H360-SUM($G$8:G360),0))</f>
        <v>0</v>
      </c>
      <c r="J360" s="208">
        <f t="shared" ca="1" si="41"/>
        <v>352</v>
      </c>
    </row>
    <row r="361" spans="1:10" ht="15.75" customHeight="1" thickBot="1">
      <c r="A361" s="237">
        <f t="shared" ca="1" si="42"/>
        <v>57025</v>
      </c>
      <c r="B361" s="238">
        <f t="shared" ca="1" si="43"/>
        <v>518944</v>
      </c>
      <c r="C361" s="238">
        <f t="shared" ca="1" si="44"/>
        <v>0</v>
      </c>
      <c r="D361" s="155">
        <f t="shared" ca="1" si="45"/>
        <v>353</v>
      </c>
      <c r="E361" s="209">
        <f t="shared" ca="1" si="40"/>
        <v>5</v>
      </c>
      <c r="F361" s="10">
        <f t="shared" ca="1" si="46"/>
        <v>57025</v>
      </c>
      <c r="G361" s="156">
        <f t="shared" ca="1" si="47"/>
        <v>518944.25995437399</v>
      </c>
      <c r="H361" s="156">
        <f ca="1">SUM($G$8:G361)*gamma</f>
        <v>2178022.6365864729</v>
      </c>
      <c r="I361" s="23">
        <f ca="1">MAX(0,ROUND($I$7-$H$7-H361-SUM($G$8:G361),0))</f>
        <v>0</v>
      </c>
      <c r="J361" s="208">
        <f t="shared" ca="1" si="41"/>
        <v>353</v>
      </c>
    </row>
    <row r="362" spans="1:10" ht="15.75" customHeight="1" thickBot="1">
      <c r="A362" s="237">
        <f t="shared" ca="1" si="42"/>
        <v>57054</v>
      </c>
      <c r="B362" s="238">
        <f t="shared" ca="1" si="43"/>
        <v>518944</v>
      </c>
      <c r="C362" s="238">
        <f t="shared" ca="1" si="44"/>
        <v>0</v>
      </c>
      <c r="D362" s="155">
        <f t="shared" ca="1" si="45"/>
        <v>354</v>
      </c>
      <c r="E362" s="209">
        <f t="shared" ca="1" si="40"/>
        <v>6</v>
      </c>
      <c r="F362" s="10">
        <f t="shared" ca="1" si="46"/>
        <v>57054</v>
      </c>
      <c r="G362" s="156">
        <f t="shared" ca="1" si="47"/>
        <v>518944.25995437399</v>
      </c>
      <c r="H362" s="156">
        <f ca="1">SUM($G$8:G362)*gamma</f>
        <v>2193590.9643851044</v>
      </c>
      <c r="I362" s="23">
        <f ca="1">MAX(0,ROUND($I$7-$H$7-H362-SUM($G$8:G362),0))</f>
        <v>0</v>
      </c>
      <c r="J362" s="208">
        <f t="shared" ca="1" si="41"/>
        <v>354</v>
      </c>
    </row>
    <row r="363" spans="1:10" ht="15.75" customHeight="1" thickBot="1">
      <c r="A363" s="237">
        <f t="shared" ca="1" si="42"/>
        <v>57085</v>
      </c>
      <c r="B363" s="238">
        <f t="shared" ca="1" si="43"/>
        <v>518944</v>
      </c>
      <c r="C363" s="238">
        <f t="shared" ca="1" si="44"/>
        <v>0</v>
      </c>
      <c r="D363" s="155">
        <f t="shared" ca="1" si="45"/>
        <v>355</v>
      </c>
      <c r="E363" s="209">
        <f t="shared" ca="1" si="40"/>
        <v>7</v>
      </c>
      <c r="F363" s="10">
        <f t="shared" ca="1" si="46"/>
        <v>57085</v>
      </c>
      <c r="G363" s="156">
        <f t="shared" ca="1" si="47"/>
        <v>518944.25995437399</v>
      </c>
      <c r="H363" s="156">
        <f ca="1">SUM($G$8:G363)*gamma</f>
        <v>2209159.2921837354</v>
      </c>
      <c r="I363" s="23">
        <f ca="1">MAX(0,ROUND($I$7-$H$7-H363-SUM($G$8:G363),0))</f>
        <v>0</v>
      </c>
      <c r="J363" s="208">
        <f t="shared" ca="1" si="41"/>
        <v>355</v>
      </c>
    </row>
    <row r="364" spans="1:10" ht="15.75" customHeight="1" thickBot="1">
      <c r="A364" s="237">
        <f t="shared" ca="1" si="42"/>
        <v>57115</v>
      </c>
      <c r="B364" s="238">
        <f t="shared" ca="1" si="43"/>
        <v>518944</v>
      </c>
      <c r="C364" s="238">
        <f t="shared" ca="1" si="44"/>
        <v>0</v>
      </c>
      <c r="D364" s="155">
        <f t="shared" ca="1" si="45"/>
        <v>356</v>
      </c>
      <c r="E364" s="209">
        <f t="shared" ca="1" si="40"/>
        <v>8</v>
      </c>
      <c r="F364" s="10">
        <f t="shared" ca="1" si="46"/>
        <v>57115</v>
      </c>
      <c r="G364" s="156">
        <f t="shared" ca="1" si="47"/>
        <v>518944.25995437399</v>
      </c>
      <c r="H364" s="156">
        <f ca="1">SUM($G$8:G364)*gamma</f>
        <v>2224727.6199823669</v>
      </c>
      <c r="I364" s="23">
        <f ca="1">MAX(0,ROUND($I$7-$H$7-H364-SUM($G$8:G364),0))</f>
        <v>0</v>
      </c>
      <c r="J364" s="208">
        <f t="shared" ca="1" si="41"/>
        <v>356</v>
      </c>
    </row>
    <row r="365" spans="1:10" ht="15.75" customHeight="1" thickBot="1">
      <c r="A365" s="237">
        <f t="shared" ca="1" si="42"/>
        <v>57146</v>
      </c>
      <c r="B365" s="238">
        <f t="shared" ca="1" si="43"/>
        <v>518944</v>
      </c>
      <c r="C365" s="238">
        <f t="shared" ca="1" si="44"/>
        <v>0</v>
      </c>
      <c r="D365" s="155">
        <f t="shared" ca="1" si="45"/>
        <v>357</v>
      </c>
      <c r="E365" s="209">
        <f t="shared" ca="1" si="40"/>
        <v>9</v>
      </c>
      <c r="F365" s="10">
        <f t="shared" ca="1" si="46"/>
        <v>57146</v>
      </c>
      <c r="G365" s="156">
        <f t="shared" ca="1" si="47"/>
        <v>518944.25995437399</v>
      </c>
      <c r="H365" s="156">
        <f ca="1">SUM($G$8:G365)*gamma</f>
        <v>2240295.9477809984</v>
      </c>
      <c r="I365" s="23">
        <f ca="1">MAX(0,ROUND($I$7-$H$7-H365-SUM($G$8:G365),0))</f>
        <v>0</v>
      </c>
      <c r="J365" s="208">
        <f t="shared" ca="1" si="41"/>
        <v>357</v>
      </c>
    </row>
    <row r="366" spans="1:10" ht="15.75" customHeight="1" thickBot="1">
      <c r="A366" s="237">
        <f t="shared" ca="1" si="42"/>
        <v>57176</v>
      </c>
      <c r="B366" s="238">
        <f t="shared" ca="1" si="43"/>
        <v>518944</v>
      </c>
      <c r="C366" s="238">
        <f t="shared" ca="1" si="44"/>
        <v>0</v>
      </c>
      <c r="D366" s="155">
        <f t="shared" ca="1" si="45"/>
        <v>358</v>
      </c>
      <c r="E366" s="209">
        <f t="shared" ca="1" si="40"/>
        <v>10</v>
      </c>
      <c r="F366" s="10">
        <f t="shared" ca="1" si="46"/>
        <v>57176</v>
      </c>
      <c r="G366" s="156">
        <f t="shared" ca="1" si="47"/>
        <v>518944.25995437399</v>
      </c>
      <c r="H366" s="156">
        <f ca="1">SUM($G$8:G366)*gamma</f>
        <v>2255864.2755796295</v>
      </c>
      <c r="I366" s="23">
        <f ca="1">MAX(0,ROUND($I$7-$H$7-H366-SUM($G$8:G366),0))</f>
        <v>0</v>
      </c>
      <c r="J366" s="208">
        <f t="shared" ca="1" si="41"/>
        <v>358</v>
      </c>
    </row>
    <row r="367" spans="1:10" ht="15.75" customHeight="1" thickBot="1">
      <c r="A367" s="237">
        <f t="shared" ca="1" si="42"/>
        <v>57207</v>
      </c>
      <c r="B367" s="238">
        <f t="shared" ca="1" si="43"/>
        <v>518944</v>
      </c>
      <c r="C367" s="238">
        <f t="shared" ca="1" si="44"/>
        <v>0</v>
      </c>
      <c r="D367" s="155">
        <f t="shared" ca="1" si="45"/>
        <v>359</v>
      </c>
      <c r="E367" s="209">
        <f t="shared" ca="1" si="40"/>
        <v>11</v>
      </c>
      <c r="F367" s="10">
        <f t="shared" ca="1" si="46"/>
        <v>57207</v>
      </c>
      <c r="G367" s="156">
        <f t="shared" ca="1" si="47"/>
        <v>518944.25995437399</v>
      </c>
      <c r="H367" s="156">
        <f ca="1">SUM($G$8:G367)*gamma</f>
        <v>2271432.603378261</v>
      </c>
      <c r="I367" s="23">
        <f ca="1">MAX(0,ROUND($I$7-$H$7-H367-SUM($G$8:G367),0))</f>
        <v>0</v>
      </c>
      <c r="J367" s="208">
        <f t="shared" ca="1" si="41"/>
        <v>359</v>
      </c>
    </row>
    <row r="368" spans="1:10" ht="15.75" customHeight="1" thickBot="1">
      <c r="A368" s="237">
        <f t="shared" ca="1" si="42"/>
        <v>57238</v>
      </c>
      <c r="B368" s="238">
        <f t="shared" ca="1" si="43"/>
        <v>560460</v>
      </c>
      <c r="C368" s="238">
        <f t="shared" ca="1" si="44"/>
        <v>0</v>
      </c>
      <c r="D368" s="155">
        <f t="shared" ca="1" si="45"/>
        <v>360</v>
      </c>
      <c r="E368" s="209">
        <f t="shared" ca="1" si="40"/>
        <v>0</v>
      </c>
      <c r="F368" s="10">
        <f t="shared" ca="1" si="46"/>
        <v>57238</v>
      </c>
      <c r="G368" s="156">
        <f t="shared" ca="1" si="47"/>
        <v>560459.80075072392</v>
      </c>
      <c r="H368" s="156">
        <f ca="1">SUM($G$8:G368)*gamma</f>
        <v>2288246.3974007824</v>
      </c>
      <c r="I368" s="23">
        <f ca="1">MAX(0,ROUND($I$7-$H$7-H368-SUM($G$8:G368),0))</f>
        <v>0</v>
      </c>
      <c r="J368" s="208">
        <f t="shared" ca="1" si="41"/>
        <v>360</v>
      </c>
    </row>
    <row r="369" spans="1:10" ht="15.75" customHeight="1" thickBot="1">
      <c r="A369" s="237">
        <f t="shared" ca="1" si="42"/>
        <v>57268</v>
      </c>
      <c r="B369" s="238">
        <f t="shared" ca="1" si="43"/>
        <v>560460</v>
      </c>
      <c r="C369" s="238">
        <f t="shared" ca="1" si="44"/>
        <v>0</v>
      </c>
      <c r="D369" s="155">
        <f t="shared" ca="1" si="45"/>
        <v>361</v>
      </c>
      <c r="E369" s="209">
        <f t="shared" ca="1" si="40"/>
        <v>1</v>
      </c>
      <c r="F369" s="10">
        <f t="shared" ca="1" si="46"/>
        <v>57268</v>
      </c>
      <c r="G369" s="156">
        <f t="shared" ca="1" si="47"/>
        <v>560459.80075072392</v>
      </c>
      <c r="H369" s="156">
        <f ca="1">SUM($G$8:G369)*gamma</f>
        <v>2305060.1914233039</v>
      </c>
      <c r="I369" s="23">
        <f ca="1">MAX(0,ROUND($I$7-$H$7-H369-SUM($G$8:G369),0))</f>
        <v>0</v>
      </c>
      <c r="J369" s="208">
        <f t="shared" ca="1" si="41"/>
        <v>361</v>
      </c>
    </row>
    <row r="370" spans="1:10" ht="15.75" customHeight="1" thickBot="1">
      <c r="A370" s="237">
        <f t="shared" ca="1" si="42"/>
        <v>57299</v>
      </c>
      <c r="B370" s="238">
        <f t="shared" ca="1" si="43"/>
        <v>560460</v>
      </c>
      <c r="C370" s="238">
        <f t="shared" ca="1" si="44"/>
        <v>0</v>
      </c>
      <c r="D370" s="155">
        <f t="shared" ca="1" si="45"/>
        <v>362</v>
      </c>
      <c r="E370" s="209">
        <f t="shared" ca="1" si="40"/>
        <v>2</v>
      </c>
      <c r="F370" s="10">
        <f t="shared" ca="1" si="46"/>
        <v>57299</v>
      </c>
      <c r="G370" s="156">
        <f t="shared" ca="1" si="47"/>
        <v>560459.80075072392</v>
      </c>
      <c r="H370" s="156">
        <f ca="1">SUM($G$8:G370)*gamma</f>
        <v>2321873.9854458254</v>
      </c>
      <c r="I370" s="23">
        <f ca="1">MAX(0,ROUND($I$7-$H$7-H370-SUM($G$8:G370),0))</f>
        <v>0</v>
      </c>
      <c r="J370" s="208">
        <f t="shared" ca="1" si="41"/>
        <v>362</v>
      </c>
    </row>
    <row r="371" spans="1:10" ht="15.75" customHeight="1" thickBot="1">
      <c r="A371" s="237">
        <f t="shared" ca="1" si="42"/>
        <v>57329</v>
      </c>
      <c r="B371" s="238">
        <f t="shared" ca="1" si="43"/>
        <v>560460</v>
      </c>
      <c r="C371" s="238">
        <f t="shared" ca="1" si="44"/>
        <v>0</v>
      </c>
      <c r="D371" s="155">
        <f t="shared" ca="1" si="45"/>
        <v>363</v>
      </c>
      <c r="E371" s="209">
        <f t="shared" ca="1" si="40"/>
        <v>3</v>
      </c>
      <c r="F371" s="10">
        <f t="shared" ca="1" si="46"/>
        <v>57329</v>
      </c>
      <c r="G371" s="156">
        <f t="shared" ca="1" si="47"/>
        <v>560459.80075072392</v>
      </c>
      <c r="H371" s="156">
        <f ca="1">SUM($G$8:G371)*gamma</f>
        <v>2338687.7794683469</v>
      </c>
      <c r="I371" s="23">
        <f ca="1">MAX(0,ROUND($I$7-$H$7-H371-SUM($G$8:G371),0))</f>
        <v>0</v>
      </c>
      <c r="J371" s="208">
        <f t="shared" ca="1" si="41"/>
        <v>363</v>
      </c>
    </row>
    <row r="372" spans="1:10" ht="15.75" customHeight="1" thickBot="1">
      <c r="A372" s="237">
        <f t="shared" ca="1" si="42"/>
        <v>57360</v>
      </c>
      <c r="B372" s="238">
        <f t="shared" ca="1" si="43"/>
        <v>560460</v>
      </c>
      <c r="C372" s="238">
        <f t="shared" ca="1" si="44"/>
        <v>0</v>
      </c>
      <c r="D372" s="155">
        <f t="shared" ca="1" si="45"/>
        <v>364</v>
      </c>
      <c r="E372" s="209">
        <f t="shared" ca="1" si="40"/>
        <v>4</v>
      </c>
      <c r="F372" s="10">
        <f t="shared" ca="1" si="46"/>
        <v>57360</v>
      </c>
      <c r="G372" s="156">
        <f t="shared" ca="1" si="47"/>
        <v>560459.80075072392</v>
      </c>
      <c r="H372" s="156">
        <f ca="1">SUM($G$8:G372)*gamma</f>
        <v>2355501.5734908688</v>
      </c>
      <c r="I372" s="23">
        <f ca="1">MAX(0,ROUND($I$7-$H$7-H372-SUM($G$8:G372),0))</f>
        <v>0</v>
      </c>
      <c r="J372" s="208">
        <f t="shared" ca="1" si="41"/>
        <v>364</v>
      </c>
    </row>
    <row r="373" spans="1:10" ht="15.75" customHeight="1" thickBot="1">
      <c r="A373" s="237">
        <f t="shared" ca="1" si="42"/>
        <v>57391</v>
      </c>
      <c r="B373" s="238">
        <f t="shared" ca="1" si="43"/>
        <v>560460</v>
      </c>
      <c r="C373" s="238">
        <f t="shared" ca="1" si="44"/>
        <v>0</v>
      </c>
      <c r="D373" s="155">
        <f t="shared" ca="1" si="45"/>
        <v>365</v>
      </c>
      <c r="E373" s="209">
        <f t="shared" ca="1" si="40"/>
        <v>5</v>
      </c>
      <c r="F373" s="10">
        <f t="shared" ca="1" si="46"/>
        <v>57391</v>
      </c>
      <c r="G373" s="156">
        <f t="shared" ca="1" si="47"/>
        <v>560459.80075072392</v>
      </c>
      <c r="H373" s="156">
        <f ca="1">SUM($G$8:G373)*gamma</f>
        <v>2372315.3675133903</v>
      </c>
      <c r="I373" s="23">
        <f ca="1">MAX(0,ROUND($I$7-$H$7-H373-SUM($G$8:G373),0))</f>
        <v>0</v>
      </c>
      <c r="J373" s="208">
        <f t="shared" ca="1" si="41"/>
        <v>365</v>
      </c>
    </row>
    <row r="374" spans="1:10" ht="15.75" customHeight="1" thickBot="1">
      <c r="A374" s="237">
        <f t="shared" ca="1" si="42"/>
        <v>57419</v>
      </c>
      <c r="B374" s="238">
        <f t="shared" ca="1" si="43"/>
        <v>560460</v>
      </c>
      <c r="C374" s="238">
        <f t="shared" ca="1" si="44"/>
        <v>0</v>
      </c>
      <c r="D374" s="155">
        <f t="shared" ca="1" si="45"/>
        <v>366</v>
      </c>
      <c r="E374" s="209">
        <f t="shared" ca="1" si="40"/>
        <v>6</v>
      </c>
      <c r="F374" s="10">
        <f t="shared" ca="1" si="46"/>
        <v>57419</v>
      </c>
      <c r="G374" s="156">
        <f t="shared" ca="1" si="47"/>
        <v>560459.80075072392</v>
      </c>
      <c r="H374" s="156">
        <f ca="1">SUM($G$8:G374)*gamma</f>
        <v>2389129.1615359117</v>
      </c>
      <c r="I374" s="23">
        <f ca="1">MAX(0,ROUND($I$7-$H$7-H374-SUM($G$8:G374),0))</f>
        <v>0</v>
      </c>
      <c r="J374" s="208">
        <f t="shared" ca="1" si="41"/>
        <v>366</v>
      </c>
    </row>
    <row r="375" spans="1:10" ht="15.75" customHeight="1" thickBot="1">
      <c r="A375" s="237">
        <f t="shared" ca="1" si="42"/>
        <v>57450</v>
      </c>
      <c r="B375" s="238">
        <f t="shared" ca="1" si="43"/>
        <v>560460</v>
      </c>
      <c r="C375" s="238">
        <f t="shared" ca="1" si="44"/>
        <v>0</v>
      </c>
      <c r="D375" s="155">
        <f t="shared" ca="1" si="45"/>
        <v>367</v>
      </c>
      <c r="E375" s="209">
        <f t="shared" ca="1" si="40"/>
        <v>7</v>
      </c>
      <c r="F375" s="10">
        <f t="shared" ca="1" si="46"/>
        <v>57450</v>
      </c>
      <c r="G375" s="156">
        <f t="shared" ca="1" si="47"/>
        <v>560459.80075072392</v>
      </c>
      <c r="H375" s="156">
        <f ca="1">SUM($G$8:G375)*gamma</f>
        <v>2405942.9555584332</v>
      </c>
      <c r="I375" s="23">
        <f ca="1">MAX(0,ROUND($I$7-$H$7-H375-SUM($G$8:G375),0))</f>
        <v>0</v>
      </c>
      <c r="J375" s="208">
        <f t="shared" ca="1" si="41"/>
        <v>367</v>
      </c>
    </row>
    <row r="376" spans="1:10" ht="15.75" customHeight="1" thickBot="1">
      <c r="A376" s="237">
        <f t="shared" ca="1" si="42"/>
        <v>57480</v>
      </c>
      <c r="B376" s="238">
        <f t="shared" ca="1" si="43"/>
        <v>560460</v>
      </c>
      <c r="C376" s="238">
        <f t="shared" ca="1" si="44"/>
        <v>0</v>
      </c>
      <c r="D376" s="155">
        <f t="shared" ca="1" si="45"/>
        <v>368</v>
      </c>
      <c r="E376" s="209">
        <f t="shared" ca="1" si="40"/>
        <v>8</v>
      </c>
      <c r="F376" s="10">
        <f t="shared" ca="1" si="46"/>
        <v>57480</v>
      </c>
      <c r="G376" s="156">
        <f t="shared" ca="1" si="47"/>
        <v>560459.80075072392</v>
      </c>
      <c r="H376" s="156">
        <f ca="1">SUM($G$8:G376)*gamma</f>
        <v>2422756.7495809547</v>
      </c>
      <c r="I376" s="23">
        <f ca="1">MAX(0,ROUND($I$7-$H$7-H376-SUM($G$8:G376),0))</f>
        <v>0</v>
      </c>
      <c r="J376" s="208">
        <f t="shared" ca="1" si="41"/>
        <v>368</v>
      </c>
    </row>
    <row r="377" spans="1:10" ht="15.75" customHeight="1" thickBot="1">
      <c r="A377" s="237">
        <f t="shared" ca="1" si="42"/>
        <v>57511</v>
      </c>
      <c r="B377" s="238">
        <f t="shared" ca="1" si="43"/>
        <v>560460</v>
      </c>
      <c r="C377" s="238">
        <f t="shared" ca="1" si="44"/>
        <v>0</v>
      </c>
      <c r="D377" s="155">
        <f t="shared" ca="1" si="45"/>
        <v>369</v>
      </c>
      <c r="E377" s="209">
        <f t="shared" ca="1" si="40"/>
        <v>9</v>
      </c>
      <c r="F377" s="10">
        <f t="shared" ca="1" si="46"/>
        <v>57511</v>
      </c>
      <c r="G377" s="156">
        <f t="shared" ca="1" si="47"/>
        <v>560459.80075072392</v>
      </c>
      <c r="H377" s="156">
        <f ca="1">SUM($G$8:G377)*gamma</f>
        <v>2439570.5436034761</v>
      </c>
      <c r="I377" s="23">
        <f ca="1">MAX(0,ROUND($I$7-$H$7-H377-SUM($G$8:G377),0))</f>
        <v>0</v>
      </c>
      <c r="J377" s="208">
        <f t="shared" ca="1" si="41"/>
        <v>369</v>
      </c>
    </row>
    <row r="378" spans="1:10" ht="15.75" customHeight="1" thickBot="1">
      <c r="A378" s="237">
        <f t="shared" ca="1" si="42"/>
        <v>57541</v>
      </c>
      <c r="B378" s="238">
        <f t="shared" ca="1" si="43"/>
        <v>560460</v>
      </c>
      <c r="C378" s="238">
        <f t="shared" ca="1" si="44"/>
        <v>0</v>
      </c>
      <c r="D378" s="155">
        <f t="shared" ca="1" si="45"/>
        <v>370</v>
      </c>
      <c r="E378" s="209">
        <f t="shared" ca="1" si="40"/>
        <v>10</v>
      </c>
      <c r="F378" s="10">
        <f t="shared" ca="1" si="46"/>
        <v>57541</v>
      </c>
      <c r="G378" s="156">
        <f t="shared" ca="1" si="47"/>
        <v>560459.80075072392</v>
      </c>
      <c r="H378" s="156">
        <f ca="1">SUM($G$8:G378)*gamma</f>
        <v>2456384.3376259976</v>
      </c>
      <c r="I378" s="23">
        <f ca="1">MAX(0,ROUND($I$7-$H$7-H378-SUM($G$8:G378),0))</f>
        <v>0</v>
      </c>
      <c r="J378" s="208">
        <f t="shared" ca="1" si="41"/>
        <v>370</v>
      </c>
    </row>
    <row r="379" spans="1:10" ht="15.75" customHeight="1" thickBot="1">
      <c r="A379" s="237">
        <f t="shared" ca="1" si="42"/>
        <v>57572</v>
      </c>
      <c r="B379" s="238">
        <f t="shared" ca="1" si="43"/>
        <v>560460</v>
      </c>
      <c r="C379" s="238">
        <f t="shared" ca="1" si="44"/>
        <v>0</v>
      </c>
      <c r="D379" s="155">
        <f t="shared" ca="1" si="45"/>
        <v>371</v>
      </c>
      <c r="E379" s="209">
        <f t="shared" ca="1" si="40"/>
        <v>11</v>
      </c>
      <c r="F379" s="10">
        <f t="shared" ca="1" si="46"/>
        <v>57572</v>
      </c>
      <c r="G379" s="156">
        <f t="shared" ca="1" si="47"/>
        <v>560459.80075072392</v>
      </c>
      <c r="H379" s="156">
        <f ca="1">SUM($G$8:G379)*gamma</f>
        <v>2473198.1316485191</v>
      </c>
      <c r="I379" s="23">
        <f ca="1">MAX(0,ROUND($I$7-$H$7-H379-SUM($G$8:G379),0))</f>
        <v>0</v>
      </c>
      <c r="J379" s="208">
        <f t="shared" ca="1" si="41"/>
        <v>371</v>
      </c>
    </row>
    <row r="380" spans="1:10" ht="15.75" customHeight="1" thickBot="1">
      <c r="A380" s="237">
        <f t="shared" ca="1" si="42"/>
        <v>57603</v>
      </c>
      <c r="B380" s="238">
        <f t="shared" ca="1" si="43"/>
        <v>605297</v>
      </c>
      <c r="C380" s="238">
        <f t="shared" ca="1" si="44"/>
        <v>0</v>
      </c>
      <c r="D380" s="155">
        <f t="shared" ca="1" si="45"/>
        <v>372</v>
      </c>
      <c r="E380" s="209">
        <f t="shared" ca="1" si="40"/>
        <v>0</v>
      </c>
      <c r="F380" s="10">
        <f t="shared" ca="1" si="46"/>
        <v>57603</v>
      </c>
      <c r="G380" s="156">
        <f t="shared" ca="1" si="47"/>
        <v>605296.58481078187</v>
      </c>
      <c r="H380" s="156">
        <f ca="1">SUM($G$8:G380)*gamma</f>
        <v>2491357.0291928425</v>
      </c>
      <c r="I380" s="23">
        <f ca="1">MAX(0,ROUND($I$7-$H$7-H380-SUM($G$8:G380),0))</f>
        <v>0</v>
      </c>
      <c r="J380" s="208">
        <f t="shared" ca="1" si="41"/>
        <v>372</v>
      </c>
    </row>
    <row r="381" spans="1:10" ht="15.75" customHeight="1" thickBot="1">
      <c r="A381" s="237">
        <f t="shared" ca="1" si="42"/>
        <v>57633</v>
      </c>
      <c r="B381" s="238">
        <f t="shared" ca="1" si="43"/>
        <v>605297</v>
      </c>
      <c r="C381" s="238">
        <f t="shared" ca="1" si="44"/>
        <v>0</v>
      </c>
      <c r="D381" s="155">
        <f t="shared" ca="1" si="45"/>
        <v>373</v>
      </c>
      <c r="E381" s="209">
        <f t="shared" ca="1" si="40"/>
        <v>1</v>
      </c>
      <c r="F381" s="10">
        <f t="shared" ca="1" si="46"/>
        <v>57633</v>
      </c>
      <c r="G381" s="156">
        <f t="shared" ca="1" si="47"/>
        <v>605296.58481078187</v>
      </c>
      <c r="H381" s="156">
        <f ca="1">SUM($G$8:G381)*gamma</f>
        <v>2509515.926737166</v>
      </c>
      <c r="I381" s="23">
        <f ca="1">MAX(0,ROUND($I$7-$H$7-H381-SUM($G$8:G381),0))</f>
        <v>0</v>
      </c>
      <c r="J381" s="208">
        <f t="shared" ca="1" si="41"/>
        <v>373</v>
      </c>
    </row>
    <row r="382" spans="1:10" ht="15.75" customHeight="1" thickBot="1">
      <c r="A382" s="237">
        <f t="shared" ca="1" si="42"/>
        <v>57664</v>
      </c>
      <c r="B382" s="238">
        <f t="shared" ca="1" si="43"/>
        <v>605297</v>
      </c>
      <c r="C382" s="238">
        <f t="shared" ca="1" si="44"/>
        <v>0</v>
      </c>
      <c r="D382" s="155">
        <f t="shared" ca="1" si="45"/>
        <v>374</v>
      </c>
      <c r="E382" s="209">
        <f t="shared" ca="1" si="40"/>
        <v>2</v>
      </c>
      <c r="F382" s="10">
        <f t="shared" ca="1" si="46"/>
        <v>57664</v>
      </c>
      <c r="G382" s="156">
        <f t="shared" ca="1" si="47"/>
        <v>605296.58481078187</v>
      </c>
      <c r="H382" s="156">
        <f ca="1">SUM($G$8:G382)*gamma</f>
        <v>2527674.8242814895</v>
      </c>
      <c r="I382" s="23">
        <f ca="1">MAX(0,ROUND($I$7-$H$7-H382-SUM($G$8:G382),0))</f>
        <v>0</v>
      </c>
      <c r="J382" s="208">
        <f t="shared" ca="1" si="41"/>
        <v>374</v>
      </c>
    </row>
    <row r="383" spans="1:10" ht="15.75" customHeight="1" thickBot="1">
      <c r="A383" s="237">
        <f t="shared" ca="1" si="42"/>
        <v>57694</v>
      </c>
      <c r="B383" s="238">
        <f t="shared" ca="1" si="43"/>
        <v>605297</v>
      </c>
      <c r="C383" s="238">
        <f t="shared" ca="1" si="44"/>
        <v>0</v>
      </c>
      <c r="D383" s="155">
        <f t="shared" ca="1" si="45"/>
        <v>375</v>
      </c>
      <c r="E383" s="209">
        <f t="shared" ca="1" si="40"/>
        <v>3</v>
      </c>
      <c r="F383" s="10">
        <f t="shared" ca="1" si="46"/>
        <v>57694</v>
      </c>
      <c r="G383" s="156">
        <f t="shared" ca="1" si="47"/>
        <v>605296.58481078187</v>
      </c>
      <c r="H383" s="156">
        <f ca="1">SUM($G$8:G383)*gamma</f>
        <v>2545833.7218258125</v>
      </c>
      <c r="I383" s="23">
        <f ca="1">MAX(0,ROUND($I$7-$H$7-H383-SUM($G$8:G383),0))</f>
        <v>0</v>
      </c>
      <c r="J383" s="208">
        <f t="shared" ca="1" si="41"/>
        <v>375</v>
      </c>
    </row>
    <row r="384" spans="1:10" ht="15.75" customHeight="1" thickBot="1">
      <c r="A384" s="237">
        <f t="shared" ca="1" si="42"/>
        <v>57725</v>
      </c>
      <c r="B384" s="238">
        <f t="shared" ca="1" si="43"/>
        <v>605297</v>
      </c>
      <c r="C384" s="238">
        <f t="shared" ca="1" si="44"/>
        <v>0</v>
      </c>
      <c r="D384" s="155">
        <f t="shared" ca="1" si="45"/>
        <v>376</v>
      </c>
      <c r="E384" s="209">
        <f t="shared" ca="1" si="40"/>
        <v>4</v>
      </c>
      <c r="F384" s="10">
        <f t="shared" ca="1" si="46"/>
        <v>57725</v>
      </c>
      <c r="G384" s="156">
        <f t="shared" ca="1" si="47"/>
        <v>605296.58481078187</v>
      </c>
      <c r="H384" s="156">
        <f ca="1">SUM($G$8:G384)*gamma</f>
        <v>2563992.6193701359</v>
      </c>
      <c r="I384" s="23">
        <f ca="1">MAX(0,ROUND($I$7-$H$7-H384-SUM($G$8:G384),0))</f>
        <v>0</v>
      </c>
      <c r="J384" s="208">
        <f t="shared" ca="1" si="41"/>
        <v>376</v>
      </c>
    </row>
    <row r="385" spans="1:10" ht="15.75" customHeight="1" thickBot="1">
      <c r="A385" s="237">
        <f t="shared" ca="1" si="42"/>
        <v>57756</v>
      </c>
      <c r="B385" s="238">
        <f t="shared" ca="1" si="43"/>
        <v>605297</v>
      </c>
      <c r="C385" s="238">
        <f t="shared" ca="1" si="44"/>
        <v>0</v>
      </c>
      <c r="D385" s="155">
        <f t="shared" ca="1" si="45"/>
        <v>377</v>
      </c>
      <c r="E385" s="209">
        <f t="shared" ca="1" si="40"/>
        <v>5</v>
      </c>
      <c r="F385" s="10">
        <f t="shared" ca="1" si="46"/>
        <v>57756</v>
      </c>
      <c r="G385" s="156">
        <f t="shared" ca="1" si="47"/>
        <v>605296.58481078187</v>
      </c>
      <c r="H385" s="156">
        <f ca="1">SUM($G$8:G385)*gamma</f>
        <v>2582151.5169144594</v>
      </c>
      <c r="I385" s="23">
        <f ca="1">MAX(0,ROUND($I$7-$H$7-H385-SUM($G$8:G385),0))</f>
        <v>0</v>
      </c>
      <c r="J385" s="208">
        <f t="shared" ca="1" si="41"/>
        <v>377</v>
      </c>
    </row>
    <row r="386" spans="1:10" ht="15.75" customHeight="1" thickBot="1">
      <c r="A386" s="237">
        <f t="shared" ca="1" si="42"/>
        <v>57784</v>
      </c>
      <c r="B386" s="238">
        <f t="shared" ca="1" si="43"/>
        <v>605297</v>
      </c>
      <c r="C386" s="238">
        <f t="shared" ca="1" si="44"/>
        <v>0</v>
      </c>
      <c r="D386" s="155">
        <f t="shared" ca="1" si="45"/>
        <v>378</v>
      </c>
      <c r="E386" s="209">
        <f t="shared" ca="1" si="40"/>
        <v>6</v>
      </c>
      <c r="F386" s="10">
        <f t="shared" ca="1" si="46"/>
        <v>57784</v>
      </c>
      <c r="G386" s="156">
        <f t="shared" ca="1" si="47"/>
        <v>605296.58481078187</v>
      </c>
      <c r="H386" s="156">
        <f ca="1">SUM($G$8:G386)*gamma</f>
        <v>2600310.4144587829</v>
      </c>
      <c r="I386" s="23">
        <f ca="1">MAX(0,ROUND($I$7-$H$7-H386-SUM($G$8:G386),0))</f>
        <v>0</v>
      </c>
      <c r="J386" s="208">
        <f t="shared" ca="1" si="41"/>
        <v>378</v>
      </c>
    </row>
    <row r="387" spans="1:10" ht="15.75" customHeight="1" thickBot="1">
      <c r="A387" s="237">
        <f t="shared" ca="1" si="42"/>
        <v>57815</v>
      </c>
      <c r="B387" s="238">
        <f t="shared" ca="1" si="43"/>
        <v>605297</v>
      </c>
      <c r="C387" s="238">
        <f t="shared" ca="1" si="44"/>
        <v>0</v>
      </c>
      <c r="D387" s="155">
        <f t="shared" ca="1" si="45"/>
        <v>379</v>
      </c>
      <c r="E387" s="209">
        <f t="shared" ca="1" si="40"/>
        <v>7</v>
      </c>
      <c r="F387" s="10">
        <f t="shared" ca="1" si="46"/>
        <v>57815</v>
      </c>
      <c r="G387" s="156">
        <f t="shared" ca="1" si="47"/>
        <v>605296.58481078187</v>
      </c>
      <c r="H387" s="156">
        <f ca="1">SUM($G$8:G387)*gamma</f>
        <v>2618469.3120031059</v>
      </c>
      <c r="I387" s="23">
        <f ca="1">MAX(0,ROUND($I$7-$H$7-H387-SUM($G$8:G387),0))</f>
        <v>0</v>
      </c>
      <c r="J387" s="208">
        <f t="shared" ca="1" si="41"/>
        <v>379</v>
      </c>
    </row>
    <row r="388" spans="1:10" ht="15.75" customHeight="1" thickBot="1">
      <c r="A388" s="237">
        <f t="shared" ca="1" si="42"/>
        <v>57845</v>
      </c>
      <c r="B388" s="238">
        <f t="shared" ca="1" si="43"/>
        <v>605297</v>
      </c>
      <c r="C388" s="238">
        <f t="shared" ca="1" si="44"/>
        <v>0</v>
      </c>
      <c r="D388" s="155">
        <f t="shared" ca="1" si="45"/>
        <v>380</v>
      </c>
      <c r="E388" s="209">
        <f t="shared" ca="1" si="40"/>
        <v>8</v>
      </c>
      <c r="F388" s="10">
        <f t="shared" ca="1" si="46"/>
        <v>57845</v>
      </c>
      <c r="G388" s="156">
        <f t="shared" ca="1" si="47"/>
        <v>605296.58481078187</v>
      </c>
      <c r="H388" s="156">
        <f ca="1">SUM($G$8:G388)*gamma</f>
        <v>2636628.2095474293</v>
      </c>
      <c r="I388" s="23">
        <f ca="1">MAX(0,ROUND($I$7-$H$7-H388-SUM($G$8:G388),0))</f>
        <v>0</v>
      </c>
      <c r="J388" s="208">
        <f t="shared" ca="1" si="41"/>
        <v>380</v>
      </c>
    </row>
    <row r="389" spans="1:10" ht="15.75" customHeight="1" thickBot="1">
      <c r="A389" s="237">
        <f t="shared" ca="1" si="42"/>
        <v>57876</v>
      </c>
      <c r="B389" s="238">
        <f t="shared" ca="1" si="43"/>
        <v>605297</v>
      </c>
      <c r="C389" s="238">
        <f t="shared" ca="1" si="44"/>
        <v>0</v>
      </c>
      <c r="D389" s="155">
        <f t="shared" ca="1" si="45"/>
        <v>381</v>
      </c>
      <c r="E389" s="209">
        <f t="shared" ca="1" si="40"/>
        <v>9</v>
      </c>
      <c r="F389" s="10">
        <f t="shared" ca="1" si="46"/>
        <v>57876</v>
      </c>
      <c r="G389" s="156">
        <f t="shared" ca="1" si="47"/>
        <v>605296.58481078187</v>
      </c>
      <c r="H389" s="156">
        <f ca="1">SUM($G$8:G389)*gamma</f>
        <v>2654787.1070917528</v>
      </c>
      <c r="I389" s="23">
        <f ca="1">MAX(0,ROUND($I$7-$H$7-H389-SUM($G$8:G389),0))</f>
        <v>0</v>
      </c>
      <c r="J389" s="208">
        <f t="shared" ca="1" si="41"/>
        <v>381</v>
      </c>
    </row>
    <row r="390" spans="1:10" ht="15.75" customHeight="1" thickBot="1">
      <c r="A390" s="237">
        <f t="shared" ca="1" si="42"/>
        <v>57906</v>
      </c>
      <c r="B390" s="238">
        <f t="shared" ca="1" si="43"/>
        <v>605297</v>
      </c>
      <c r="C390" s="238">
        <f t="shared" ca="1" si="44"/>
        <v>0</v>
      </c>
      <c r="D390" s="155">
        <f t="shared" ca="1" si="45"/>
        <v>382</v>
      </c>
      <c r="E390" s="209">
        <f t="shared" ca="1" si="40"/>
        <v>10</v>
      </c>
      <c r="F390" s="10">
        <f t="shared" ca="1" si="46"/>
        <v>57906</v>
      </c>
      <c r="G390" s="156">
        <f t="shared" ca="1" si="47"/>
        <v>605296.58481078187</v>
      </c>
      <c r="H390" s="156">
        <f ca="1">SUM($G$8:G390)*gamma</f>
        <v>2672946.0046360763</v>
      </c>
      <c r="I390" s="23">
        <f ca="1">MAX(0,ROUND($I$7-$H$7-H390-SUM($G$8:G390),0))</f>
        <v>0</v>
      </c>
      <c r="J390" s="208">
        <f t="shared" ca="1" si="41"/>
        <v>382</v>
      </c>
    </row>
    <row r="391" spans="1:10" ht="15.75" customHeight="1" thickBot="1">
      <c r="A391" s="237">
        <f t="shared" ca="1" si="42"/>
        <v>57937</v>
      </c>
      <c r="B391" s="238">
        <f t="shared" ca="1" si="43"/>
        <v>605297</v>
      </c>
      <c r="C391" s="238">
        <f t="shared" ca="1" si="44"/>
        <v>0</v>
      </c>
      <c r="D391" s="155">
        <f t="shared" ca="1" si="45"/>
        <v>383</v>
      </c>
      <c r="E391" s="209">
        <f t="shared" ca="1" si="40"/>
        <v>11</v>
      </c>
      <c r="F391" s="10">
        <f t="shared" ca="1" si="46"/>
        <v>57937</v>
      </c>
      <c r="G391" s="156">
        <f t="shared" ca="1" si="47"/>
        <v>605296.58481078187</v>
      </c>
      <c r="H391" s="156">
        <f ca="1">SUM($G$8:G391)*gamma</f>
        <v>2691104.9021803993</v>
      </c>
      <c r="I391" s="23">
        <f ca="1">MAX(0,ROUND($I$7-$H$7-H391-SUM($G$8:G391),0))</f>
        <v>0</v>
      </c>
      <c r="J391" s="208">
        <f t="shared" ca="1" si="41"/>
        <v>383</v>
      </c>
    </row>
    <row r="392" spans="1:10" ht="15.75" customHeight="1" thickBot="1">
      <c r="A392" s="237">
        <f t="shared" ca="1" si="42"/>
        <v>57968</v>
      </c>
      <c r="B392" s="238">
        <f t="shared" ca="1" si="43"/>
        <v>653720</v>
      </c>
      <c r="C392" s="238">
        <f t="shared" ca="1" si="44"/>
        <v>0</v>
      </c>
      <c r="D392" s="155">
        <f t="shared" ca="1" si="45"/>
        <v>384</v>
      </c>
      <c r="E392" s="209">
        <f t="shared" ref="E392:E455" ca="1" si="48">MOD(J392,12)</f>
        <v>0</v>
      </c>
      <c r="F392" s="10">
        <f t="shared" ca="1" si="46"/>
        <v>57968</v>
      </c>
      <c r="G392" s="156">
        <f t="shared" ca="1" si="47"/>
        <v>653720.31159564445</v>
      </c>
      <c r="H392" s="156">
        <f ca="1">SUM($G$8:G392)*gamma</f>
        <v>2710716.5115282689</v>
      </c>
      <c r="I392" s="23">
        <f ca="1">MAX(0,ROUND($I$7-$H$7-H392-SUM($G$8:G392),0))</f>
        <v>0</v>
      </c>
      <c r="J392" s="208">
        <f t="shared" ref="J392:J455" ca="1" si="49">IF(G391&gt;0,1+J391,0)</f>
        <v>384</v>
      </c>
    </row>
    <row r="393" spans="1:10" ht="15.75" customHeight="1" thickBot="1">
      <c r="A393" s="237">
        <f t="shared" ref="A393:A456" ca="1" si="50">IF(d_plast&gt;=F393,F393,"")</f>
        <v>57998</v>
      </c>
      <c r="B393" s="238">
        <f t="shared" ref="B393:B456" ca="1" si="51">IF(A393="","",ROUND(G393,0))</f>
        <v>653720</v>
      </c>
      <c r="C393" s="238">
        <f t="shared" ref="C393:C456" ca="1" si="52">IF(A393&lt;&gt;"",IF(end=2,IF(D393&lt;24,0,I393),I393),"")</f>
        <v>0</v>
      </c>
      <c r="D393" s="155">
        <f t="shared" ref="D393:D456" ca="1" si="53">D392+freq_2</f>
        <v>385</v>
      </c>
      <c r="E393" s="209">
        <f t="shared" ca="1" si="48"/>
        <v>1</v>
      </c>
      <c r="F393" s="10">
        <f t="shared" ref="F393:F456" ca="1" si="54">EDATE($F$8,D393)</f>
        <v>57998</v>
      </c>
      <c r="G393" s="156">
        <f t="shared" ref="G393:G456" ca="1" si="55">IF(A393&lt;d_begin,0,IF(G392=0,Ben,IF(E393=0,G392*(1+index),G392)))</f>
        <v>653720.31159564445</v>
      </c>
      <c r="H393" s="156">
        <f ca="1">SUM($G$8:G393)*gamma</f>
        <v>2730328.1208761386</v>
      </c>
      <c r="I393" s="23">
        <f ca="1">MAX(0,ROUND($I$7-$H$7-H393-SUM($G$8:G393),0))</f>
        <v>0</v>
      </c>
      <c r="J393" s="208">
        <f t="shared" ca="1" si="49"/>
        <v>385</v>
      </c>
    </row>
    <row r="394" spans="1:10" ht="15.75" customHeight="1" thickBot="1">
      <c r="A394" s="237">
        <f t="shared" ca="1" si="50"/>
        <v>58029</v>
      </c>
      <c r="B394" s="238">
        <f t="shared" ca="1" si="51"/>
        <v>653720</v>
      </c>
      <c r="C394" s="238">
        <f t="shared" ca="1" si="52"/>
        <v>0</v>
      </c>
      <c r="D394" s="155">
        <f t="shared" ca="1" si="53"/>
        <v>386</v>
      </c>
      <c r="E394" s="209">
        <f t="shared" ca="1" si="48"/>
        <v>2</v>
      </c>
      <c r="F394" s="10">
        <f t="shared" ca="1" si="54"/>
        <v>58029</v>
      </c>
      <c r="G394" s="156">
        <f t="shared" ca="1" si="55"/>
        <v>653720.31159564445</v>
      </c>
      <c r="H394" s="156">
        <f ca="1">SUM($G$8:G394)*gamma</f>
        <v>2749939.7302240077</v>
      </c>
      <c r="I394" s="23">
        <f ca="1">MAX(0,ROUND($I$7-$H$7-H394-SUM($G$8:G394),0))</f>
        <v>0</v>
      </c>
      <c r="J394" s="208">
        <f t="shared" ca="1" si="49"/>
        <v>386</v>
      </c>
    </row>
    <row r="395" spans="1:10" ht="15.75" customHeight="1" thickBot="1">
      <c r="A395" s="237">
        <f t="shared" ca="1" si="50"/>
        <v>58059</v>
      </c>
      <c r="B395" s="238">
        <f t="shared" ca="1" si="51"/>
        <v>653720</v>
      </c>
      <c r="C395" s="238">
        <f t="shared" ca="1" si="52"/>
        <v>0</v>
      </c>
      <c r="D395" s="155">
        <f t="shared" ca="1" si="53"/>
        <v>387</v>
      </c>
      <c r="E395" s="209">
        <f t="shared" ca="1" si="48"/>
        <v>3</v>
      </c>
      <c r="F395" s="10">
        <f t="shared" ca="1" si="54"/>
        <v>58059</v>
      </c>
      <c r="G395" s="156">
        <f t="shared" ca="1" si="55"/>
        <v>653720.31159564445</v>
      </c>
      <c r="H395" s="156">
        <f ca="1">SUM($G$8:G395)*gamma</f>
        <v>2769551.3395718774</v>
      </c>
      <c r="I395" s="23">
        <f ca="1">MAX(0,ROUND($I$7-$H$7-H395-SUM($G$8:G395),0))</f>
        <v>0</v>
      </c>
      <c r="J395" s="208">
        <f t="shared" ca="1" si="49"/>
        <v>387</v>
      </c>
    </row>
    <row r="396" spans="1:10" ht="15.75" customHeight="1" thickBot="1">
      <c r="A396" s="237">
        <f t="shared" ca="1" si="50"/>
        <v>58090</v>
      </c>
      <c r="B396" s="238">
        <f t="shared" ca="1" si="51"/>
        <v>653720</v>
      </c>
      <c r="C396" s="238">
        <f t="shared" ca="1" si="52"/>
        <v>0</v>
      </c>
      <c r="D396" s="155">
        <f t="shared" ca="1" si="53"/>
        <v>388</v>
      </c>
      <c r="E396" s="209">
        <f t="shared" ca="1" si="48"/>
        <v>4</v>
      </c>
      <c r="F396" s="10">
        <f t="shared" ca="1" si="54"/>
        <v>58090</v>
      </c>
      <c r="G396" s="156">
        <f t="shared" ca="1" si="55"/>
        <v>653720.31159564445</v>
      </c>
      <c r="H396" s="156">
        <f ca="1">SUM($G$8:G396)*gamma</f>
        <v>2789162.9489197466</v>
      </c>
      <c r="I396" s="23">
        <f ca="1">MAX(0,ROUND($I$7-$H$7-H396-SUM($G$8:G396),0))</f>
        <v>0</v>
      </c>
      <c r="J396" s="208">
        <f t="shared" ca="1" si="49"/>
        <v>388</v>
      </c>
    </row>
    <row r="397" spans="1:10" ht="15.75" customHeight="1" thickBot="1">
      <c r="A397" s="237">
        <f t="shared" ca="1" si="50"/>
        <v>58121</v>
      </c>
      <c r="B397" s="238">
        <f t="shared" ca="1" si="51"/>
        <v>653720</v>
      </c>
      <c r="C397" s="238">
        <f t="shared" ca="1" si="52"/>
        <v>0</v>
      </c>
      <c r="D397" s="155">
        <f t="shared" ca="1" si="53"/>
        <v>389</v>
      </c>
      <c r="E397" s="209">
        <f t="shared" ca="1" si="48"/>
        <v>5</v>
      </c>
      <c r="F397" s="10">
        <f t="shared" ca="1" si="54"/>
        <v>58121</v>
      </c>
      <c r="G397" s="156">
        <f t="shared" ca="1" si="55"/>
        <v>653720.31159564445</v>
      </c>
      <c r="H397" s="156">
        <f ca="1">SUM($G$8:G397)*gamma</f>
        <v>2808774.5582676162</v>
      </c>
      <c r="I397" s="23">
        <f ca="1">MAX(0,ROUND($I$7-$H$7-H397-SUM($G$8:G397),0))</f>
        <v>0</v>
      </c>
      <c r="J397" s="208">
        <f t="shared" ca="1" si="49"/>
        <v>389</v>
      </c>
    </row>
    <row r="398" spans="1:10" ht="15.75" customHeight="1" thickBot="1">
      <c r="A398" s="237">
        <f t="shared" ca="1" si="50"/>
        <v>58149</v>
      </c>
      <c r="B398" s="238">
        <f t="shared" ca="1" si="51"/>
        <v>653720</v>
      </c>
      <c r="C398" s="238">
        <f t="shared" ca="1" si="52"/>
        <v>0</v>
      </c>
      <c r="D398" s="155">
        <f t="shared" ca="1" si="53"/>
        <v>390</v>
      </c>
      <c r="E398" s="209">
        <f t="shared" ca="1" si="48"/>
        <v>6</v>
      </c>
      <c r="F398" s="10">
        <f t="shared" ca="1" si="54"/>
        <v>58149</v>
      </c>
      <c r="G398" s="156">
        <f t="shared" ca="1" si="55"/>
        <v>653720.31159564445</v>
      </c>
      <c r="H398" s="156">
        <f ca="1">SUM($G$8:G398)*gamma</f>
        <v>2828386.1676154858</v>
      </c>
      <c r="I398" s="23">
        <f ca="1">MAX(0,ROUND($I$7-$H$7-H398-SUM($G$8:G398),0))</f>
        <v>0</v>
      </c>
      <c r="J398" s="208">
        <f t="shared" ca="1" si="49"/>
        <v>390</v>
      </c>
    </row>
    <row r="399" spans="1:10" ht="15.75" customHeight="1" thickBot="1">
      <c r="A399" s="237">
        <f t="shared" ca="1" si="50"/>
        <v>58180</v>
      </c>
      <c r="B399" s="238">
        <f t="shared" ca="1" si="51"/>
        <v>653720</v>
      </c>
      <c r="C399" s="238">
        <f t="shared" ca="1" si="52"/>
        <v>0</v>
      </c>
      <c r="D399" s="155">
        <f t="shared" ca="1" si="53"/>
        <v>391</v>
      </c>
      <c r="E399" s="209">
        <f t="shared" ca="1" si="48"/>
        <v>7</v>
      </c>
      <c r="F399" s="10">
        <f t="shared" ca="1" si="54"/>
        <v>58180</v>
      </c>
      <c r="G399" s="156">
        <f t="shared" ca="1" si="55"/>
        <v>653720.31159564445</v>
      </c>
      <c r="H399" s="156">
        <f ca="1">SUM($G$8:G399)*gamma</f>
        <v>2847997.776963355</v>
      </c>
      <c r="I399" s="23">
        <f ca="1">MAX(0,ROUND($I$7-$H$7-H399-SUM($G$8:G399),0))</f>
        <v>0</v>
      </c>
      <c r="J399" s="208">
        <f t="shared" ca="1" si="49"/>
        <v>391</v>
      </c>
    </row>
    <row r="400" spans="1:10" ht="15.75" customHeight="1" thickBot="1">
      <c r="A400" s="237">
        <f t="shared" ca="1" si="50"/>
        <v>58210</v>
      </c>
      <c r="B400" s="238">
        <f t="shared" ca="1" si="51"/>
        <v>653720</v>
      </c>
      <c r="C400" s="238">
        <f t="shared" ca="1" si="52"/>
        <v>0</v>
      </c>
      <c r="D400" s="155">
        <f t="shared" ca="1" si="53"/>
        <v>392</v>
      </c>
      <c r="E400" s="209">
        <f t="shared" ca="1" si="48"/>
        <v>8</v>
      </c>
      <c r="F400" s="10">
        <f t="shared" ca="1" si="54"/>
        <v>58210</v>
      </c>
      <c r="G400" s="156">
        <f t="shared" ca="1" si="55"/>
        <v>653720.31159564445</v>
      </c>
      <c r="H400" s="156">
        <f ca="1">SUM($G$8:G400)*gamma</f>
        <v>2867609.3863112247</v>
      </c>
      <c r="I400" s="23">
        <f ca="1">MAX(0,ROUND($I$7-$H$7-H400-SUM($G$8:G400),0))</f>
        <v>0</v>
      </c>
      <c r="J400" s="208">
        <f t="shared" ca="1" si="49"/>
        <v>392</v>
      </c>
    </row>
    <row r="401" spans="1:10" ht="15.75" customHeight="1" thickBot="1">
      <c r="A401" s="237">
        <f t="shared" ca="1" si="50"/>
        <v>58241</v>
      </c>
      <c r="B401" s="238">
        <f t="shared" ca="1" si="51"/>
        <v>653720</v>
      </c>
      <c r="C401" s="238">
        <f t="shared" ca="1" si="52"/>
        <v>0</v>
      </c>
      <c r="D401" s="155">
        <f t="shared" ca="1" si="53"/>
        <v>393</v>
      </c>
      <c r="E401" s="209">
        <f t="shared" ca="1" si="48"/>
        <v>9</v>
      </c>
      <c r="F401" s="10">
        <f t="shared" ca="1" si="54"/>
        <v>58241</v>
      </c>
      <c r="G401" s="156">
        <f t="shared" ca="1" si="55"/>
        <v>653720.31159564445</v>
      </c>
      <c r="H401" s="156">
        <f ca="1">SUM($G$8:G401)*gamma</f>
        <v>2887220.9956590938</v>
      </c>
      <c r="I401" s="23">
        <f ca="1">MAX(0,ROUND($I$7-$H$7-H401-SUM($G$8:G401),0))</f>
        <v>0</v>
      </c>
      <c r="J401" s="208">
        <f t="shared" ca="1" si="49"/>
        <v>393</v>
      </c>
    </row>
    <row r="402" spans="1:10" ht="15.75" customHeight="1" thickBot="1">
      <c r="A402" s="237">
        <f t="shared" ca="1" si="50"/>
        <v>58271</v>
      </c>
      <c r="B402" s="238">
        <f t="shared" ca="1" si="51"/>
        <v>653720</v>
      </c>
      <c r="C402" s="238">
        <f t="shared" ca="1" si="52"/>
        <v>0</v>
      </c>
      <c r="D402" s="155">
        <f t="shared" ca="1" si="53"/>
        <v>394</v>
      </c>
      <c r="E402" s="209">
        <f t="shared" ca="1" si="48"/>
        <v>10</v>
      </c>
      <c r="F402" s="10">
        <f t="shared" ca="1" si="54"/>
        <v>58271</v>
      </c>
      <c r="G402" s="156">
        <f t="shared" ca="1" si="55"/>
        <v>653720.31159564445</v>
      </c>
      <c r="H402" s="156">
        <f ca="1">SUM($G$8:G402)*gamma</f>
        <v>2906832.6050069635</v>
      </c>
      <c r="I402" s="23">
        <f ca="1">MAX(0,ROUND($I$7-$H$7-H402-SUM($G$8:G402),0))</f>
        <v>0</v>
      </c>
      <c r="J402" s="208">
        <f t="shared" ca="1" si="49"/>
        <v>394</v>
      </c>
    </row>
    <row r="403" spans="1:10" ht="15.75" customHeight="1" thickBot="1">
      <c r="A403" s="237">
        <f t="shared" ca="1" si="50"/>
        <v>58302</v>
      </c>
      <c r="B403" s="238">
        <f t="shared" ca="1" si="51"/>
        <v>653720</v>
      </c>
      <c r="C403" s="238">
        <f t="shared" ca="1" si="52"/>
        <v>0</v>
      </c>
      <c r="D403" s="155">
        <f t="shared" ca="1" si="53"/>
        <v>395</v>
      </c>
      <c r="E403" s="209">
        <f t="shared" ca="1" si="48"/>
        <v>11</v>
      </c>
      <c r="F403" s="10">
        <f t="shared" ca="1" si="54"/>
        <v>58302</v>
      </c>
      <c r="G403" s="156">
        <f t="shared" ca="1" si="55"/>
        <v>653720.31159564445</v>
      </c>
      <c r="H403" s="156">
        <f ca="1">SUM($G$8:G403)*gamma</f>
        <v>2926444.2143548331</v>
      </c>
      <c r="I403" s="23">
        <f ca="1">MAX(0,ROUND($I$7-$H$7-H403-SUM($G$8:G403),0))</f>
        <v>0</v>
      </c>
      <c r="J403" s="208">
        <f t="shared" ca="1" si="49"/>
        <v>395</v>
      </c>
    </row>
    <row r="404" spans="1:10" ht="15.75" customHeight="1" thickBot="1">
      <c r="A404" s="237">
        <f t="shared" ca="1" si="50"/>
        <v>58333</v>
      </c>
      <c r="B404" s="238">
        <f t="shared" ca="1" si="51"/>
        <v>706018</v>
      </c>
      <c r="C404" s="238">
        <f t="shared" ca="1" si="52"/>
        <v>0</v>
      </c>
      <c r="D404" s="155">
        <f t="shared" ca="1" si="53"/>
        <v>396</v>
      </c>
      <c r="E404" s="209">
        <f t="shared" ca="1" si="48"/>
        <v>0</v>
      </c>
      <c r="F404" s="10">
        <f t="shared" ca="1" si="54"/>
        <v>58333</v>
      </c>
      <c r="G404" s="156">
        <f t="shared" ca="1" si="55"/>
        <v>706017.93652329606</v>
      </c>
      <c r="H404" s="156">
        <f ca="1">SUM($G$8:G404)*gamma</f>
        <v>2947624.7524505323</v>
      </c>
      <c r="I404" s="23">
        <f ca="1">MAX(0,ROUND($I$7-$H$7-H404-SUM($G$8:G404),0))</f>
        <v>0</v>
      </c>
      <c r="J404" s="208">
        <f t="shared" ca="1" si="49"/>
        <v>396</v>
      </c>
    </row>
    <row r="405" spans="1:10" ht="15.75" customHeight="1" thickBot="1">
      <c r="A405" s="237">
        <f t="shared" ca="1" si="50"/>
        <v>58363</v>
      </c>
      <c r="B405" s="238">
        <f t="shared" ca="1" si="51"/>
        <v>706018</v>
      </c>
      <c r="C405" s="238">
        <f t="shared" ca="1" si="52"/>
        <v>0</v>
      </c>
      <c r="D405" s="155">
        <f t="shared" ca="1" si="53"/>
        <v>397</v>
      </c>
      <c r="E405" s="209">
        <f t="shared" ca="1" si="48"/>
        <v>1</v>
      </c>
      <c r="F405" s="10">
        <f t="shared" ca="1" si="54"/>
        <v>58363</v>
      </c>
      <c r="G405" s="156">
        <f t="shared" ca="1" si="55"/>
        <v>706017.93652329606</v>
      </c>
      <c r="H405" s="156">
        <f ca="1">SUM($G$8:G405)*gamma</f>
        <v>2968805.290546231</v>
      </c>
      <c r="I405" s="23">
        <f ca="1">MAX(0,ROUND($I$7-$H$7-H405-SUM($G$8:G405),0))</f>
        <v>0</v>
      </c>
      <c r="J405" s="208">
        <f t="shared" ca="1" si="49"/>
        <v>397</v>
      </c>
    </row>
    <row r="406" spans="1:10" ht="15.75" customHeight="1" thickBot="1">
      <c r="A406" s="237">
        <f t="shared" ca="1" si="50"/>
        <v>58394</v>
      </c>
      <c r="B406" s="238">
        <f t="shared" ca="1" si="51"/>
        <v>706018</v>
      </c>
      <c r="C406" s="238">
        <f t="shared" ca="1" si="52"/>
        <v>0</v>
      </c>
      <c r="D406" s="155">
        <f t="shared" ca="1" si="53"/>
        <v>398</v>
      </c>
      <c r="E406" s="209">
        <f t="shared" ca="1" si="48"/>
        <v>2</v>
      </c>
      <c r="F406" s="10">
        <f t="shared" ca="1" si="54"/>
        <v>58394</v>
      </c>
      <c r="G406" s="156">
        <f t="shared" ca="1" si="55"/>
        <v>706017.93652329606</v>
      </c>
      <c r="H406" s="156">
        <f ca="1">SUM($G$8:G406)*gamma</f>
        <v>2989985.8286419301</v>
      </c>
      <c r="I406" s="23">
        <f ca="1">MAX(0,ROUND($I$7-$H$7-H406-SUM($G$8:G406),0))</f>
        <v>0</v>
      </c>
      <c r="J406" s="208">
        <f t="shared" ca="1" si="49"/>
        <v>398</v>
      </c>
    </row>
    <row r="407" spans="1:10" ht="15.75" customHeight="1" thickBot="1">
      <c r="A407" s="237">
        <f t="shared" ca="1" si="50"/>
        <v>58424</v>
      </c>
      <c r="B407" s="238">
        <f t="shared" ca="1" si="51"/>
        <v>706018</v>
      </c>
      <c r="C407" s="238">
        <f t="shared" ca="1" si="52"/>
        <v>0</v>
      </c>
      <c r="D407" s="155">
        <f t="shared" ca="1" si="53"/>
        <v>399</v>
      </c>
      <c r="E407" s="209">
        <f t="shared" ca="1" si="48"/>
        <v>3</v>
      </c>
      <c r="F407" s="10">
        <f t="shared" ca="1" si="54"/>
        <v>58424</v>
      </c>
      <c r="G407" s="156">
        <f t="shared" ca="1" si="55"/>
        <v>706017.93652329606</v>
      </c>
      <c r="H407" s="156">
        <f ca="1">SUM($G$8:G407)*gamma</f>
        <v>3011166.3667376293</v>
      </c>
      <c r="I407" s="23">
        <f ca="1">MAX(0,ROUND($I$7-$H$7-H407-SUM($G$8:G407),0))</f>
        <v>0</v>
      </c>
      <c r="J407" s="208">
        <f t="shared" ca="1" si="49"/>
        <v>399</v>
      </c>
    </row>
    <row r="408" spans="1:10" ht="15.75" customHeight="1" thickBot="1">
      <c r="A408" s="237">
        <f t="shared" ca="1" si="50"/>
        <v>58455</v>
      </c>
      <c r="B408" s="238">
        <f t="shared" ca="1" si="51"/>
        <v>706018</v>
      </c>
      <c r="C408" s="238">
        <f t="shared" ca="1" si="52"/>
        <v>0</v>
      </c>
      <c r="D408" s="155">
        <f t="shared" ca="1" si="53"/>
        <v>400</v>
      </c>
      <c r="E408" s="209">
        <f t="shared" ca="1" si="48"/>
        <v>4</v>
      </c>
      <c r="F408" s="10">
        <f t="shared" ca="1" si="54"/>
        <v>58455</v>
      </c>
      <c r="G408" s="156">
        <f t="shared" ca="1" si="55"/>
        <v>706017.93652329606</v>
      </c>
      <c r="H408" s="156">
        <f ca="1">SUM($G$8:G408)*gamma</f>
        <v>3032346.9048333284</v>
      </c>
      <c r="I408" s="23">
        <f ca="1">MAX(0,ROUND($I$7-$H$7-H408-SUM($G$8:G408),0))</f>
        <v>0</v>
      </c>
      <c r="J408" s="208">
        <f t="shared" ca="1" si="49"/>
        <v>400</v>
      </c>
    </row>
    <row r="409" spans="1:10" ht="15.75" customHeight="1" thickBot="1">
      <c r="A409" s="237">
        <f t="shared" ca="1" si="50"/>
        <v>58486</v>
      </c>
      <c r="B409" s="238">
        <f t="shared" ca="1" si="51"/>
        <v>706018</v>
      </c>
      <c r="C409" s="238">
        <f t="shared" ca="1" si="52"/>
        <v>0</v>
      </c>
      <c r="D409" s="155">
        <f t="shared" ca="1" si="53"/>
        <v>401</v>
      </c>
      <c r="E409" s="209">
        <f t="shared" ca="1" si="48"/>
        <v>5</v>
      </c>
      <c r="F409" s="10">
        <f t="shared" ca="1" si="54"/>
        <v>58486</v>
      </c>
      <c r="G409" s="156">
        <f t="shared" ca="1" si="55"/>
        <v>706017.93652329606</v>
      </c>
      <c r="H409" s="156">
        <f ca="1">SUM($G$8:G409)*gamma</f>
        <v>3053527.4429290276</v>
      </c>
      <c r="I409" s="23">
        <f ca="1">MAX(0,ROUND($I$7-$H$7-H409-SUM($G$8:G409),0))</f>
        <v>0</v>
      </c>
      <c r="J409" s="208">
        <f t="shared" ca="1" si="49"/>
        <v>401</v>
      </c>
    </row>
    <row r="410" spans="1:10" ht="15.75" customHeight="1" thickBot="1">
      <c r="A410" s="237">
        <f t="shared" ca="1" si="50"/>
        <v>58515</v>
      </c>
      <c r="B410" s="238">
        <f t="shared" ca="1" si="51"/>
        <v>706018</v>
      </c>
      <c r="C410" s="238">
        <f t="shared" ca="1" si="52"/>
        <v>0</v>
      </c>
      <c r="D410" s="155">
        <f t="shared" ca="1" si="53"/>
        <v>402</v>
      </c>
      <c r="E410" s="209">
        <f t="shared" ca="1" si="48"/>
        <v>6</v>
      </c>
      <c r="F410" s="10">
        <f t="shared" ca="1" si="54"/>
        <v>58515</v>
      </c>
      <c r="G410" s="156">
        <f t="shared" ca="1" si="55"/>
        <v>706017.93652329606</v>
      </c>
      <c r="H410" s="156">
        <f ca="1">SUM($G$8:G410)*gamma</f>
        <v>3074707.9810247268</v>
      </c>
      <c r="I410" s="23">
        <f ca="1">MAX(0,ROUND($I$7-$H$7-H410-SUM($G$8:G410),0))</f>
        <v>0</v>
      </c>
      <c r="J410" s="208">
        <f t="shared" ca="1" si="49"/>
        <v>402</v>
      </c>
    </row>
    <row r="411" spans="1:10" ht="15.75" customHeight="1" thickBot="1">
      <c r="A411" s="237">
        <f t="shared" ca="1" si="50"/>
        <v>58546</v>
      </c>
      <c r="B411" s="238">
        <f t="shared" ca="1" si="51"/>
        <v>706018</v>
      </c>
      <c r="C411" s="238">
        <f t="shared" ca="1" si="52"/>
        <v>0</v>
      </c>
      <c r="D411" s="155">
        <f t="shared" ca="1" si="53"/>
        <v>403</v>
      </c>
      <c r="E411" s="209">
        <f t="shared" ca="1" si="48"/>
        <v>7</v>
      </c>
      <c r="F411" s="10">
        <f t="shared" ca="1" si="54"/>
        <v>58546</v>
      </c>
      <c r="G411" s="156">
        <f t="shared" ca="1" si="55"/>
        <v>706017.93652329606</v>
      </c>
      <c r="H411" s="156">
        <f ca="1">SUM($G$8:G411)*gamma</f>
        <v>3095888.5191204259</v>
      </c>
      <c r="I411" s="23">
        <f ca="1">MAX(0,ROUND($I$7-$H$7-H411-SUM($G$8:G411),0))</f>
        <v>0</v>
      </c>
      <c r="J411" s="208">
        <f t="shared" ca="1" si="49"/>
        <v>403</v>
      </c>
    </row>
    <row r="412" spans="1:10" ht="15.75" customHeight="1" thickBot="1">
      <c r="A412" s="237">
        <f t="shared" ca="1" si="50"/>
        <v>58576</v>
      </c>
      <c r="B412" s="238">
        <f t="shared" ca="1" si="51"/>
        <v>706018</v>
      </c>
      <c r="C412" s="238">
        <f t="shared" ca="1" si="52"/>
        <v>0</v>
      </c>
      <c r="D412" s="155">
        <f t="shared" ca="1" si="53"/>
        <v>404</v>
      </c>
      <c r="E412" s="209">
        <f t="shared" ca="1" si="48"/>
        <v>8</v>
      </c>
      <c r="F412" s="10">
        <f t="shared" ca="1" si="54"/>
        <v>58576</v>
      </c>
      <c r="G412" s="156">
        <f t="shared" ca="1" si="55"/>
        <v>706017.93652329606</v>
      </c>
      <c r="H412" s="156">
        <f ca="1">SUM($G$8:G412)*gamma</f>
        <v>3117069.0572161251</v>
      </c>
      <c r="I412" s="23">
        <f ca="1">MAX(0,ROUND($I$7-$H$7-H412-SUM($G$8:G412),0))</f>
        <v>0</v>
      </c>
      <c r="J412" s="208">
        <f t="shared" ca="1" si="49"/>
        <v>404</v>
      </c>
    </row>
    <row r="413" spans="1:10" ht="15.75" customHeight="1" thickBot="1">
      <c r="A413" s="237">
        <f t="shared" ca="1" si="50"/>
        <v>58607</v>
      </c>
      <c r="B413" s="238">
        <f t="shared" ca="1" si="51"/>
        <v>706018</v>
      </c>
      <c r="C413" s="238">
        <f t="shared" ca="1" si="52"/>
        <v>0</v>
      </c>
      <c r="D413" s="155">
        <f t="shared" ca="1" si="53"/>
        <v>405</v>
      </c>
      <c r="E413" s="209">
        <f t="shared" ca="1" si="48"/>
        <v>9</v>
      </c>
      <c r="F413" s="10">
        <f t="shared" ca="1" si="54"/>
        <v>58607</v>
      </c>
      <c r="G413" s="156">
        <f t="shared" ca="1" si="55"/>
        <v>706017.93652329606</v>
      </c>
      <c r="H413" s="156">
        <f ca="1">SUM($G$8:G413)*gamma</f>
        <v>3138249.5953118238</v>
      </c>
      <c r="I413" s="23">
        <f ca="1">MAX(0,ROUND($I$7-$H$7-H413-SUM($G$8:G413),0))</f>
        <v>0</v>
      </c>
      <c r="J413" s="208">
        <f t="shared" ca="1" si="49"/>
        <v>405</v>
      </c>
    </row>
    <row r="414" spans="1:10" ht="15.75" customHeight="1" thickBot="1">
      <c r="A414" s="237">
        <f t="shared" ca="1" si="50"/>
        <v>58637</v>
      </c>
      <c r="B414" s="238">
        <f t="shared" ca="1" si="51"/>
        <v>706018</v>
      </c>
      <c r="C414" s="238">
        <f t="shared" ca="1" si="52"/>
        <v>0</v>
      </c>
      <c r="D414" s="155">
        <f t="shared" ca="1" si="53"/>
        <v>406</v>
      </c>
      <c r="E414" s="209">
        <f t="shared" ca="1" si="48"/>
        <v>10</v>
      </c>
      <c r="F414" s="10">
        <f t="shared" ca="1" si="54"/>
        <v>58637</v>
      </c>
      <c r="G414" s="156">
        <f t="shared" ca="1" si="55"/>
        <v>706017.93652329606</v>
      </c>
      <c r="H414" s="156">
        <f ca="1">SUM($G$8:G414)*gamma</f>
        <v>3159430.1334075229</v>
      </c>
      <c r="I414" s="23">
        <f ca="1">MAX(0,ROUND($I$7-$H$7-H414-SUM($G$8:G414),0))</f>
        <v>0</v>
      </c>
      <c r="J414" s="208">
        <f t="shared" ca="1" si="49"/>
        <v>406</v>
      </c>
    </row>
    <row r="415" spans="1:10" ht="15.75" customHeight="1" thickBot="1">
      <c r="A415" s="237">
        <f t="shared" ca="1" si="50"/>
        <v>58668</v>
      </c>
      <c r="B415" s="238">
        <f t="shared" ca="1" si="51"/>
        <v>706018</v>
      </c>
      <c r="C415" s="238">
        <f t="shared" ca="1" si="52"/>
        <v>0</v>
      </c>
      <c r="D415" s="155">
        <f t="shared" ca="1" si="53"/>
        <v>407</v>
      </c>
      <c r="E415" s="209">
        <f t="shared" ca="1" si="48"/>
        <v>11</v>
      </c>
      <c r="F415" s="10">
        <f t="shared" ca="1" si="54"/>
        <v>58668</v>
      </c>
      <c r="G415" s="156">
        <f t="shared" ca="1" si="55"/>
        <v>706017.93652329606</v>
      </c>
      <c r="H415" s="156">
        <f ca="1">SUM($G$8:G415)*gamma</f>
        <v>3180610.6715032221</v>
      </c>
      <c r="I415" s="23">
        <f ca="1">MAX(0,ROUND($I$7-$H$7-H415-SUM($G$8:G415),0))</f>
        <v>0</v>
      </c>
      <c r="J415" s="208">
        <f t="shared" ca="1" si="49"/>
        <v>407</v>
      </c>
    </row>
    <row r="416" spans="1:10" ht="15.75" customHeight="1" thickBot="1">
      <c r="A416" s="237">
        <f t="shared" ca="1" si="50"/>
        <v>58699</v>
      </c>
      <c r="B416" s="238">
        <f t="shared" ca="1" si="51"/>
        <v>762499</v>
      </c>
      <c r="C416" s="238">
        <f t="shared" ca="1" si="52"/>
        <v>0</v>
      </c>
      <c r="D416" s="155">
        <f t="shared" ca="1" si="53"/>
        <v>408</v>
      </c>
      <c r="E416" s="209">
        <f t="shared" ca="1" si="48"/>
        <v>0</v>
      </c>
      <c r="F416" s="10">
        <f t="shared" ca="1" si="54"/>
        <v>58699</v>
      </c>
      <c r="G416" s="156">
        <f t="shared" ca="1" si="55"/>
        <v>762499.37144515978</v>
      </c>
      <c r="H416" s="156">
        <f ca="1">SUM($G$8:G416)*gamma</f>
        <v>3203485.652646577</v>
      </c>
      <c r="I416" s="23">
        <f ca="1">MAX(0,ROUND($I$7-$H$7-H416-SUM($G$8:G416),0))</f>
        <v>0</v>
      </c>
      <c r="J416" s="208">
        <f t="shared" ca="1" si="49"/>
        <v>408</v>
      </c>
    </row>
    <row r="417" spans="1:10" ht="15.75" customHeight="1" thickBot="1">
      <c r="A417" s="237">
        <f t="shared" ca="1" si="50"/>
        <v>58729</v>
      </c>
      <c r="B417" s="238">
        <f t="shared" ca="1" si="51"/>
        <v>762499</v>
      </c>
      <c r="C417" s="238">
        <f t="shared" ca="1" si="52"/>
        <v>0</v>
      </c>
      <c r="D417" s="155">
        <f t="shared" ca="1" si="53"/>
        <v>409</v>
      </c>
      <c r="E417" s="209">
        <f t="shared" ca="1" si="48"/>
        <v>1</v>
      </c>
      <c r="F417" s="10">
        <f t="shared" ca="1" si="54"/>
        <v>58729</v>
      </c>
      <c r="G417" s="156">
        <f t="shared" ca="1" si="55"/>
        <v>762499.37144515978</v>
      </c>
      <c r="H417" s="156">
        <f ca="1">SUM($G$8:G417)*gamma</f>
        <v>3226360.6337899319</v>
      </c>
      <c r="I417" s="23">
        <f ca="1">MAX(0,ROUND($I$7-$H$7-H417-SUM($G$8:G417),0))</f>
        <v>0</v>
      </c>
      <c r="J417" s="208">
        <f t="shared" ca="1" si="49"/>
        <v>409</v>
      </c>
    </row>
    <row r="418" spans="1:10" ht="15.75" customHeight="1" thickBot="1">
      <c r="A418" s="237">
        <f t="shared" ca="1" si="50"/>
        <v>58760</v>
      </c>
      <c r="B418" s="238">
        <f t="shared" ca="1" si="51"/>
        <v>762499</v>
      </c>
      <c r="C418" s="238">
        <f t="shared" ca="1" si="52"/>
        <v>0</v>
      </c>
      <c r="D418" s="155">
        <f t="shared" ca="1" si="53"/>
        <v>410</v>
      </c>
      <c r="E418" s="209">
        <f t="shared" ca="1" si="48"/>
        <v>2</v>
      </c>
      <c r="F418" s="10">
        <f t="shared" ca="1" si="54"/>
        <v>58760</v>
      </c>
      <c r="G418" s="156">
        <f t="shared" ca="1" si="55"/>
        <v>762499.37144515978</v>
      </c>
      <c r="H418" s="156">
        <f ca="1">SUM($G$8:G418)*gamma</f>
        <v>3249235.6149332868</v>
      </c>
      <c r="I418" s="23">
        <f ca="1">MAX(0,ROUND($I$7-$H$7-H418-SUM($G$8:G418),0))</f>
        <v>0</v>
      </c>
      <c r="J418" s="208">
        <f t="shared" ca="1" si="49"/>
        <v>410</v>
      </c>
    </row>
    <row r="419" spans="1:10" ht="15.75" customHeight="1" thickBot="1">
      <c r="A419" s="237">
        <f t="shared" ca="1" si="50"/>
        <v>58790</v>
      </c>
      <c r="B419" s="238">
        <f t="shared" ca="1" si="51"/>
        <v>762499</v>
      </c>
      <c r="C419" s="238">
        <f t="shared" ca="1" si="52"/>
        <v>0</v>
      </c>
      <c r="D419" s="155">
        <f t="shared" ca="1" si="53"/>
        <v>411</v>
      </c>
      <c r="E419" s="209">
        <f t="shared" ca="1" si="48"/>
        <v>3</v>
      </c>
      <c r="F419" s="10">
        <f t="shared" ca="1" si="54"/>
        <v>58790</v>
      </c>
      <c r="G419" s="156">
        <f t="shared" ca="1" si="55"/>
        <v>762499.37144515978</v>
      </c>
      <c r="H419" s="156">
        <f ca="1">SUM($G$8:G419)*gamma</f>
        <v>3272110.5960766417</v>
      </c>
      <c r="I419" s="23">
        <f ca="1">MAX(0,ROUND($I$7-$H$7-H419-SUM($G$8:G419),0))</f>
        <v>0</v>
      </c>
      <c r="J419" s="208">
        <f t="shared" ca="1" si="49"/>
        <v>411</v>
      </c>
    </row>
    <row r="420" spans="1:10" ht="15.75" customHeight="1" thickBot="1">
      <c r="A420" s="237">
        <f t="shared" ca="1" si="50"/>
        <v>58821</v>
      </c>
      <c r="B420" s="238">
        <f t="shared" ca="1" si="51"/>
        <v>762499</v>
      </c>
      <c r="C420" s="238">
        <f t="shared" ca="1" si="52"/>
        <v>0</v>
      </c>
      <c r="D420" s="155">
        <f t="shared" ca="1" si="53"/>
        <v>412</v>
      </c>
      <c r="E420" s="209">
        <f t="shared" ca="1" si="48"/>
        <v>4</v>
      </c>
      <c r="F420" s="10">
        <f t="shared" ca="1" si="54"/>
        <v>58821</v>
      </c>
      <c r="G420" s="156">
        <f t="shared" ca="1" si="55"/>
        <v>762499.37144515978</v>
      </c>
      <c r="H420" s="156">
        <f ca="1">SUM($G$8:G420)*gamma</f>
        <v>3294985.5772199966</v>
      </c>
      <c r="I420" s="23">
        <f ca="1">MAX(0,ROUND($I$7-$H$7-H420-SUM($G$8:G420),0))</f>
        <v>0</v>
      </c>
      <c r="J420" s="208">
        <f t="shared" ca="1" si="49"/>
        <v>412</v>
      </c>
    </row>
    <row r="421" spans="1:10" ht="15.75" customHeight="1" thickBot="1">
      <c r="A421" s="237">
        <f t="shared" ca="1" si="50"/>
        <v>58852</v>
      </c>
      <c r="B421" s="238">
        <f t="shared" ca="1" si="51"/>
        <v>762499</v>
      </c>
      <c r="C421" s="238">
        <f t="shared" ca="1" si="52"/>
        <v>0</v>
      </c>
      <c r="D421" s="155">
        <f t="shared" ca="1" si="53"/>
        <v>413</v>
      </c>
      <c r="E421" s="209">
        <f t="shared" ca="1" si="48"/>
        <v>5</v>
      </c>
      <c r="F421" s="10">
        <f t="shared" ca="1" si="54"/>
        <v>58852</v>
      </c>
      <c r="G421" s="156">
        <f t="shared" ca="1" si="55"/>
        <v>762499.37144515978</v>
      </c>
      <c r="H421" s="156">
        <f ca="1">SUM($G$8:G421)*gamma</f>
        <v>3317860.5583633515</v>
      </c>
      <c r="I421" s="23">
        <f ca="1">MAX(0,ROUND($I$7-$H$7-H421-SUM($G$8:G421),0))</f>
        <v>0</v>
      </c>
      <c r="J421" s="208">
        <f t="shared" ca="1" si="49"/>
        <v>413</v>
      </c>
    </row>
    <row r="422" spans="1:10" ht="15.75" customHeight="1" thickBot="1">
      <c r="A422" s="237">
        <f t="shared" ca="1" si="50"/>
        <v>58880</v>
      </c>
      <c r="B422" s="238">
        <f t="shared" ca="1" si="51"/>
        <v>762499</v>
      </c>
      <c r="C422" s="238">
        <f t="shared" ca="1" si="52"/>
        <v>0</v>
      </c>
      <c r="D422" s="155">
        <f t="shared" ca="1" si="53"/>
        <v>414</v>
      </c>
      <c r="E422" s="209">
        <f t="shared" ca="1" si="48"/>
        <v>6</v>
      </c>
      <c r="F422" s="10">
        <f t="shared" ca="1" si="54"/>
        <v>58880</v>
      </c>
      <c r="G422" s="156">
        <f t="shared" ca="1" si="55"/>
        <v>762499.37144515978</v>
      </c>
      <c r="H422" s="156">
        <f ca="1">SUM($G$8:G422)*gamma</f>
        <v>3340735.5395067064</v>
      </c>
      <c r="I422" s="23">
        <f ca="1">MAX(0,ROUND($I$7-$H$7-H422-SUM($G$8:G422),0))</f>
        <v>0</v>
      </c>
      <c r="J422" s="208">
        <f t="shared" ca="1" si="49"/>
        <v>414</v>
      </c>
    </row>
    <row r="423" spans="1:10" ht="15.75" customHeight="1" thickBot="1">
      <c r="A423" s="237">
        <f t="shared" ca="1" si="50"/>
        <v>58911</v>
      </c>
      <c r="B423" s="238">
        <f t="shared" ca="1" si="51"/>
        <v>762499</v>
      </c>
      <c r="C423" s="238">
        <f t="shared" ca="1" si="52"/>
        <v>0</v>
      </c>
      <c r="D423" s="155">
        <f t="shared" ca="1" si="53"/>
        <v>415</v>
      </c>
      <c r="E423" s="209">
        <f t="shared" ca="1" si="48"/>
        <v>7</v>
      </c>
      <c r="F423" s="10">
        <f t="shared" ca="1" si="54"/>
        <v>58911</v>
      </c>
      <c r="G423" s="156">
        <f t="shared" ca="1" si="55"/>
        <v>762499.37144515978</v>
      </c>
      <c r="H423" s="156">
        <f ca="1">SUM($G$8:G423)*gamma</f>
        <v>3363610.5206500613</v>
      </c>
      <c r="I423" s="23">
        <f ca="1">MAX(0,ROUND($I$7-$H$7-H423-SUM($G$8:G423),0))</f>
        <v>0</v>
      </c>
      <c r="J423" s="208">
        <f t="shared" ca="1" si="49"/>
        <v>415</v>
      </c>
    </row>
    <row r="424" spans="1:10" ht="15.75" customHeight="1" thickBot="1">
      <c r="A424" s="237">
        <f t="shared" ca="1" si="50"/>
        <v>58941</v>
      </c>
      <c r="B424" s="238">
        <f t="shared" ca="1" si="51"/>
        <v>762499</v>
      </c>
      <c r="C424" s="238">
        <f t="shared" ca="1" si="52"/>
        <v>0</v>
      </c>
      <c r="D424" s="155">
        <f t="shared" ca="1" si="53"/>
        <v>416</v>
      </c>
      <c r="E424" s="209">
        <f t="shared" ca="1" si="48"/>
        <v>8</v>
      </c>
      <c r="F424" s="10">
        <f t="shared" ca="1" si="54"/>
        <v>58941</v>
      </c>
      <c r="G424" s="156">
        <f t="shared" ca="1" si="55"/>
        <v>762499.37144515978</v>
      </c>
      <c r="H424" s="156">
        <f ca="1">SUM($G$8:G424)*gamma</f>
        <v>3386485.5017934167</v>
      </c>
      <c r="I424" s="23">
        <f ca="1">MAX(0,ROUND($I$7-$H$7-H424-SUM($G$8:G424),0))</f>
        <v>0</v>
      </c>
      <c r="J424" s="208">
        <f t="shared" ca="1" si="49"/>
        <v>416</v>
      </c>
    </row>
    <row r="425" spans="1:10" ht="15.75" customHeight="1" thickBot="1">
      <c r="A425" s="237">
        <f t="shared" ca="1" si="50"/>
        <v>58972</v>
      </c>
      <c r="B425" s="238">
        <f t="shared" ca="1" si="51"/>
        <v>762499</v>
      </c>
      <c r="C425" s="238">
        <f t="shared" ca="1" si="52"/>
        <v>0</v>
      </c>
      <c r="D425" s="155">
        <f t="shared" ca="1" si="53"/>
        <v>417</v>
      </c>
      <c r="E425" s="209">
        <f t="shared" ca="1" si="48"/>
        <v>9</v>
      </c>
      <c r="F425" s="10">
        <f t="shared" ca="1" si="54"/>
        <v>58972</v>
      </c>
      <c r="G425" s="156">
        <f t="shared" ca="1" si="55"/>
        <v>762499.37144515978</v>
      </c>
      <c r="H425" s="156">
        <f ca="1">SUM($G$8:G425)*gamma</f>
        <v>3409360.4829367716</v>
      </c>
      <c r="I425" s="23">
        <f ca="1">MAX(0,ROUND($I$7-$H$7-H425-SUM($G$8:G425),0))</f>
        <v>0</v>
      </c>
      <c r="J425" s="208">
        <f t="shared" ca="1" si="49"/>
        <v>417</v>
      </c>
    </row>
    <row r="426" spans="1:10" ht="15.75" customHeight="1" thickBot="1">
      <c r="A426" s="237">
        <f t="shared" ca="1" si="50"/>
        <v>59002</v>
      </c>
      <c r="B426" s="238">
        <f t="shared" ca="1" si="51"/>
        <v>762499</v>
      </c>
      <c r="C426" s="238">
        <f t="shared" ca="1" si="52"/>
        <v>0</v>
      </c>
      <c r="D426" s="155">
        <f t="shared" ca="1" si="53"/>
        <v>418</v>
      </c>
      <c r="E426" s="209">
        <f t="shared" ca="1" si="48"/>
        <v>10</v>
      </c>
      <c r="F426" s="10">
        <f t="shared" ca="1" si="54"/>
        <v>59002</v>
      </c>
      <c r="G426" s="156">
        <f t="shared" ca="1" si="55"/>
        <v>762499.37144515978</v>
      </c>
      <c r="H426" s="156">
        <f ca="1">SUM($G$8:G426)*gamma</f>
        <v>3432235.4640801265</v>
      </c>
      <c r="I426" s="23">
        <f ca="1">MAX(0,ROUND($I$7-$H$7-H426-SUM($G$8:G426),0))</f>
        <v>0</v>
      </c>
      <c r="J426" s="208">
        <f t="shared" ca="1" si="49"/>
        <v>418</v>
      </c>
    </row>
    <row r="427" spans="1:10" ht="15.75" customHeight="1" thickBot="1">
      <c r="A427" s="237">
        <f t="shared" ca="1" si="50"/>
        <v>59033</v>
      </c>
      <c r="B427" s="238">
        <f t="shared" ca="1" si="51"/>
        <v>762499</v>
      </c>
      <c r="C427" s="238">
        <f t="shared" ca="1" si="52"/>
        <v>0</v>
      </c>
      <c r="D427" s="155">
        <f t="shared" ca="1" si="53"/>
        <v>419</v>
      </c>
      <c r="E427" s="209">
        <f t="shared" ca="1" si="48"/>
        <v>11</v>
      </c>
      <c r="F427" s="10">
        <f t="shared" ca="1" si="54"/>
        <v>59033</v>
      </c>
      <c r="G427" s="156">
        <f t="shared" ca="1" si="55"/>
        <v>762499.37144515978</v>
      </c>
      <c r="H427" s="156">
        <f ca="1">SUM($G$8:G427)*gamma</f>
        <v>3455110.4452234814</v>
      </c>
      <c r="I427" s="23">
        <f ca="1">MAX(0,ROUND($I$7-$H$7-H427-SUM($G$8:G427),0))</f>
        <v>0</v>
      </c>
      <c r="J427" s="208">
        <f t="shared" ca="1" si="49"/>
        <v>419</v>
      </c>
    </row>
    <row r="428" spans="1:10" ht="15.75" customHeight="1" thickBot="1">
      <c r="A428" s="237">
        <f t="shared" ca="1" si="50"/>
        <v>59064</v>
      </c>
      <c r="B428" s="238">
        <f t="shared" ca="1" si="51"/>
        <v>823499</v>
      </c>
      <c r="C428" s="238">
        <f t="shared" ca="1" si="52"/>
        <v>0</v>
      </c>
      <c r="D428" s="155">
        <f t="shared" ca="1" si="53"/>
        <v>420</v>
      </c>
      <c r="E428" s="209">
        <f t="shared" ca="1" si="48"/>
        <v>0</v>
      </c>
      <c r="F428" s="10">
        <f t="shared" ca="1" si="54"/>
        <v>59064</v>
      </c>
      <c r="G428" s="156">
        <f t="shared" ca="1" si="55"/>
        <v>823499.32116077258</v>
      </c>
      <c r="H428" s="156">
        <f ca="1">SUM($G$8:G428)*gamma</f>
        <v>3479815.4248583047</v>
      </c>
      <c r="I428" s="23">
        <f ca="1">MAX(0,ROUND($I$7-$H$7-H428-SUM($G$8:G428),0))</f>
        <v>0</v>
      </c>
      <c r="J428" s="208">
        <f t="shared" ca="1" si="49"/>
        <v>420</v>
      </c>
    </row>
    <row r="429" spans="1:10" ht="15.75" customHeight="1" thickBot="1">
      <c r="A429" s="237">
        <f t="shared" ca="1" si="50"/>
        <v>59094</v>
      </c>
      <c r="B429" s="238">
        <f t="shared" ca="1" si="51"/>
        <v>823499</v>
      </c>
      <c r="C429" s="238">
        <f t="shared" ca="1" si="52"/>
        <v>0</v>
      </c>
      <c r="D429" s="155">
        <f t="shared" ca="1" si="53"/>
        <v>421</v>
      </c>
      <c r="E429" s="209">
        <f t="shared" ca="1" si="48"/>
        <v>1</v>
      </c>
      <c r="F429" s="10">
        <f t="shared" ca="1" si="54"/>
        <v>59094</v>
      </c>
      <c r="G429" s="156">
        <f t="shared" ca="1" si="55"/>
        <v>823499.32116077258</v>
      </c>
      <c r="H429" s="156">
        <f ca="1">SUM($G$8:G429)*gamma</f>
        <v>3504520.4044931279</v>
      </c>
      <c r="I429" s="23">
        <f ca="1">MAX(0,ROUND($I$7-$H$7-H429-SUM($G$8:G429),0))</f>
        <v>0</v>
      </c>
      <c r="J429" s="208">
        <f t="shared" ca="1" si="49"/>
        <v>421</v>
      </c>
    </row>
    <row r="430" spans="1:10" ht="15.75" customHeight="1" thickBot="1">
      <c r="A430" s="237">
        <f t="shared" ca="1" si="50"/>
        <v>59125</v>
      </c>
      <c r="B430" s="238">
        <f t="shared" ca="1" si="51"/>
        <v>823499</v>
      </c>
      <c r="C430" s="238">
        <f t="shared" ca="1" si="52"/>
        <v>0</v>
      </c>
      <c r="D430" s="155">
        <f t="shared" ca="1" si="53"/>
        <v>422</v>
      </c>
      <c r="E430" s="209">
        <f t="shared" ca="1" si="48"/>
        <v>2</v>
      </c>
      <c r="F430" s="10">
        <f t="shared" ca="1" si="54"/>
        <v>59125</v>
      </c>
      <c r="G430" s="156">
        <f t="shared" ca="1" si="55"/>
        <v>823499.32116077258</v>
      </c>
      <c r="H430" s="156">
        <f ca="1">SUM($G$8:G430)*gamma</f>
        <v>3529225.3841279512</v>
      </c>
      <c r="I430" s="23">
        <f ca="1">MAX(0,ROUND($I$7-$H$7-H430-SUM($G$8:G430),0))</f>
        <v>0</v>
      </c>
      <c r="J430" s="208">
        <f t="shared" ca="1" si="49"/>
        <v>422</v>
      </c>
    </row>
    <row r="431" spans="1:10" ht="15.75" customHeight="1" thickBot="1">
      <c r="A431" s="237">
        <f t="shared" ca="1" si="50"/>
        <v>59155</v>
      </c>
      <c r="B431" s="238">
        <f t="shared" ca="1" si="51"/>
        <v>823499</v>
      </c>
      <c r="C431" s="238">
        <f t="shared" ca="1" si="52"/>
        <v>0</v>
      </c>
      <c r="D431" s="155">
        <f t="shared" ca="1" si="53"/>
        <v>423</v>
      </c>
      <c r="E431" s="209">
        <f t="shared" ca="1" si="48"/>
        <v>3</v>
      </c>
      <c r="F431" s="10">
        <f t="shared" ca="1" si="54"/>
        <v>59155</v>
      </c>
      <c r="G431" s="156">
        <f t="shared" ca="1" si="55"/>
        <v>823499.32116077258</v>
      </c>
      <c r="H431" s="156">
        <f ca="1">SUM($G$8:G431)*gamma</f>
        <v>3553930.3637627745</v>
      </c>
      <c r="I431" s="23">
        <f ca="1">MAX(0,ROUND($I$7-$H$7-H431-SUM($G$8:G431),0))</f>
        <v>0</v>
      </c>
      <c r="J431" s="208">
        <f t="shared" ca="1" si="49"/>
        <v>423</v>
      </c>
    </row>
    <row r="432" spans="1:10" ht="15.75" customHeight="1" thickBot="1">
      <c r="A432" s="237">
        <f t="shared" ca="1" si="50"/>
        <v>59186</v>
      </c>
      <c r="B432" s="238">
        <f t="shared" ca="1" si="51"/>
        <v>823499</v>
      </c>
      <c r="C432" s="238">
        <f t="shared" ca="1" si="52"/>
        <v>0</v>
      </c>
      <c r="D432" s="155">
        <f t="shared" ca="1" si="53"/>
        <v>424</v>
      </c>
      <c r="E432" s="209">
        <f t="shared" ca="1" si="48"/>
        <v>4</v>
      </c>
      <c r="F432" s="10">
        <f t="shared" ca="1" si="54"/>
        <v>59186</v>
      </c>
      <c r="G432" s="156">
        <f t="shared" ca="1" si="55"/>
        <v>823499.32116077258</v>
      </c>
      <c r="H432" s="156">
        <f ca="1">SUM($G$8:G432)*gamma</f>
        <v>3578635.3433975978</v>
      </c>
      <c r="I432" s="23">
        <f ca="1">MAX(0,ROUND($I$7-$H$7-H432-SUM($G$8:G432),0))</f>
        <v>0</v>
      </c>
      <c r="J432" s="208">
        <f t="shared" ca="1" si="49"/>
        <v>424</v>
      </c>
    </row>
    <row r="433" spans="1:10" ht="15.75" customHeight="1" thickBot="1">
      <c r="A433" s="237">
        <f t="shared" ca="1" si="50"/>
        <v>59217</v>
      </c>
      <c r="B433" s="238">
        <f t="shared" ca="1" si="51"/>
        <v>823499</v>
      </c>
      <c r="C433" s="238">
        <f t="shared" ca="1" si="52"/>
        <v>0</v>
      </c>
      <c r="D433" s="155">
        <f t="shared" ca="1" si="53"/>
        <v>425</v>
      </c>
      <c r="E433" s="209">
        <f t="shared" ca="1" si="48"/>
        <v>5</v>
      </c>
      <c r="F433" s="10">
        <f t="shared" ca="1" si="54"/>
        <v>59217</v>
      </c>
      <c r="G433" s="156">
        <f t="shared" ca="1" si="55"/>
        <v>823499.32116077258</v>
      </c>
      <c r="H433" s="156">
        <f ca="1">SUM($G$8:G433)*gamma</f>
        <v>3603340.3230324215</v>
      </c>
      <c r="I433" s="23">
        <f ca="1">MAX(0,ROUND($I$7-$H$7-H433-SUM($G$8:G433),0))</f>
        <v>0</v>
      </c>
      <c r="J433" s="208">
        <f t="shared" ca="1" si="49"/>
        <v>425</v>
      </c>
    </row>
    <row r="434" spans="1:10" ht="15.75" customHeight="1" thickBot="1">
      <c r="A434" s="237">
        <f t="shared" ca="1" si="50"/>
        <v>59245</v>
      </c>
      <c r="B434" s="238">
        <f t="shared" ca="1" si="51"/>
        <v>823499</v>
      </c>
      <c r="C434" s="238">
        <f t="shared" ca="1" si="52"/>
        <v>0</v>
      </c>
      <c r="D434" s="155">
        <f t="shared" ca="1" si="53"/>
        <v>426</v>
      </c>
      <c r="E434" s="209">
        <f t="shared" ca="1" si="48"/>
        <v>6</v>
      </c>
      <c r="F434" s="10">
        <f t="shared" ca="1" si="54"/>
        <v>59245</v>
      </c>
      <c r="G434" s="156">
        <f t="shared" ca="1" si="55"/>
        <v>823499.32116077258</v>
      </c>
      <c r="H434" s="156">
        <f ca="1">SUM($G$8:G434)*gamma</f>
        <v>3628045.3026672448</v>
      </c>
      <c r="I434" s="23">
        <f ca="1">MAX(0,ROUND($I$7-$H$7-H434-SUM($G$8:G434),0))</f>
        <v>0</v>
      </c>
      <c r="J434" s="208">
        <f t="shared" ca="1" si="49"/>
        <v>426</v>
      </c>
    </row>
    <row r="435" spans="1:10" ht="15.75" customHeight="1" thickBot="1">
      <c r="A435" s="237">
        <f t="shared" ca="1" si="50"/>
        <v>59276</v>
      </c>
      <c r="B435" s="238">
        <f t="shared" ca="1" si="51"/>
        <v>823499</v>
      </c>
      <c r="C435" s="238">
        <f t="shared" ca="1" si="52"/>
        <v>0</v>
      </c>
      <c r="D435" s="155">
        <f t="shared" ca="1" si="53"/>
        <v>427</v>
      </c>
      <c r="E435" s="209">
        <f t="shared" ca="1" si="48"/>
        <v>7</v>
      </c>
      <c r="F435" s="10">
        <f t="shared" ca="1" si="54"/>
        <v>59276</v>
      </c>
      <c r="G435" s="156">
        <f t="shared" ca="1" si="55"/>
        <v>823499.32116077258</v>
      </c>
      <c r="H435" s="156">
        <f ca="1">SUM($G$8:G435)*gamma</f>
        <v>3652750.2823020681</v>
      </c>
      <c r="I435" s="23">
        <f ca="1">MAX(0,ROUND($I$7-$H$7-H435-SUM($G$8:G435),0))</f>
        <v>0</v>
      </c>
      <c r="J435" s="208">
        <f t="shared" ca="1" si="49"/>
        <v>427</v>
      </c>
    </row>
    <row r="436" spans="1:10" ht="15.75" customHeight="1" thickBot="1">
      <c r="A436" s="237">
        <f t="shared" ca="1" si="50"/>
        <v>59306</v>
      </c>
      <c r="B436" s="238">
        <f t="shared" ca="1" si="51"/>
        <v>823499</v>
      </c>
      <c r="C436" s="238">
        <f t="shared" ca="1" si="52"/>
        <v>0</v>
      </c>
      <c r="D436" s="155">
        <f t="shared" ca="1" si="53"/>
        <v>428</v>
      </c>
      <c r="E436" s="209">
        <f t="shared" ca="1" si="48"/>
        <v>8</v>
      </c>
      <c r="F436" s="10">
        <f t="shared" ca="1" si="54"/>
        <v>59306</v>
      </c>
      <c r="G436" s="156">
        <f t="shared" ca="1" si="55"/>
        <v>823499.32116077258</v>
      </c>
      <c r="H436" s="156">
        <f ca="1">SUM($G$8:G436)*gamma</f>
        <v>3677455.2619368914</v>
      </c>
      <c r="I436" s="23">
        <f ca="1">MAX(0,ROUND($I$7-$H$7-H436-SUM($G$8:G436),0))</f>
        <v>0</v>
      </c>
      <c r="J436" s="208">
        <f t="shared" ca="1" si="49"/>
        <v>428</v>
      </c>
    </row>
    <row r="437" spans="1:10" ht="15.75" customHeight="1" thickBot="1">
      <c r="A437" s="237">
        <f t="shared" ca="1" si="50"/>
        <v>59337</v>
      </c>
      <c r="B437" s="238">
        <f t="shared" ca="1" si="51"/>
        <v>823499</v>
      </c>
      <c r="C437" s="238">
        <f t="shared" ca="1" si="52"/>
        <v>0</v>
      </c>
      <c r="D437" s="155">
        <f t="shared" ca="1" si="53"/>
        <v>429</v>
      </c>
      <c r="E437" s="209">
        <f t="shared" ca="1" si="48"/>
        <v>9</v>
      </c>
      <c r="F437" s="10">
        <f t="shared" ca="1" si="54"/>
        <v>59337</v>
      </c>
      <c r="G437" s="156">
        <f t="shared" ca="1" si="55"/>
        <v>823499.32116077258</v>
      </c>
      <c r="H437" s="156">
        <f ca="1">SUM($G$8:G437)*gamma</f>
        <v>3702160.2415717146</v>
      </c>
      <c r="I437" s="23">
        <f ca="1">MAX(0,ROUND($I$7-$H$7-H437-SUM($G$8:G437),0))</f>
        <v>0</v>
      </c>
      <c r="J437" s="208">
        <f t="shared" ca="1" si="49"/>
        <v>429</v>
      </c>
    </row>
    <row r="438" spans="1:10" ht="15.75" customHeight="1" thickBot="1">
      <c r="A438" s="237">
        <f t="shared" ca="1" si="50"/>
        <v>59367</v>
      </c>
      <c r="B438" s="238">
        <f t="shared" ca="1" si="51"/>
        <v>823499</v>
      </c>
      <c r="C438" s="238">
        <f t="shared" ca="1" si="52"/>
        <v>0</v>
      </c>
      <c r="D438" s="155">
        <f t="shared" ca="1" si="53"/>
        <v>430</v>
      </c>
      <c r="E438" s="209">
        <f t="shared" ca="1" si="48"/>
        <v>10</v>
      </c>
      <c r="F438" s="10">
        <f t="shared" ca="1" si="54"/>
        <v>59367</v>
      </c>
      <c r="G438" s="156">
        <f t="shared" ca="1" si="55"/>
        <v>823499.32116077258</v>
      </c>
      <c r="H438" s="156">
        <f ca="1">SUM($G$8:G438)*gamma</f>
        <v>3726865.2212065379</v>
      </c>
      <c r="I438" s="23">
        <f ca="1">MAX(0,ROUND($I$7-$H$7-H438-SUM($G$8:G438),0))</f>
        <v>0</v>
      </c>
      <c r="J438" s="208">
        <f t="shared" ca="1" si="49"/>
        <v>430</v>
      </c>
    </row>
    <row r="439" spans="1:10" ht="15.75" customHeight="1" thickBot="1">
      <c r="A439" s="237">
        <f t="shared" ca="1" si="50"/>
        <v>59398</v>
      </c>
      <c r="B439" s="238">
        <f t="shared" ca="1" si="51"/>
        <v>823499</v>
      </c>
      <c r="C439" s="238">
        <f t="shared" ca="1" si="52"/>
        <v>0</v>
      </c>
      <c r="D439" s="155">
        <f t="shared" ca="1" si="53"/>
        <v>431</v>
      </c>
      <c r="E439" s="209">
        <f t="shared" ca="1" si="48"/>
        <v>11</v>
      </c>
      <c r="F439" s="10">
        <f t="shared" ca="1" si="54"/>
        <v>59398</v>
      </c>
      <c r="G439" s="156">
        <f t="shared" ca="1" si="55"/>
        <v>823499.32116077258</v>
      </c>
      <c r="H439" s="156">
        <f ca="1">SUM($G$8:G439)*gamma</f>
        <v>3751570.2008413617</v>
      </c>
      <c r="I439" s="23">
        <f ca="1">MAX(0,ROUND($I$7-$H$7-H439-SUM($G$8:G439),0))</f>
        <v>0</v>
      </c>
      <c r="J439" s="208">
        <f t="shared" ca="1" si="49"/>
        <v>431</v>
      </c>
    </row>
    <row r="440" spans="1:10" ht="15.75" customHeight="1" thickBot="1">
      <c r="A440" s="237">
        <f t="shared" ca="1" si="50"/>
        <v>59429</v>
      </c>
      <c r="B440" s="238">
        <f t="shared" ca="1" si="51"/>
        <v>889379</v>
      </c>
      <c r="C440" s="238">
        <f t="shared" ca="1" si="52"/>
        <v>0</v>
      </c>
      <c r="D440" s="155">
        <f t="shared" ca="1" si="53"/>
        <v>432</v>
      </c>
      <c r="E440" s="209">
        <f t="shared" ca="1" si="48"/>
        <v>0</v>
      </c>
      <c r="F440" s="10">
        <f t="shared" ca="1" si="54"/>
        <v>59429</v>
      </c>
      <c r="G440" s="156">
        <f t="shared" ca="1" si="55"/>
        <v>889379.2668536345</v>
      </c>
      <c r="H440" s="156">
        <f ca="1">SUM($G$8:G440)*gamma</f>
        <v>3778251.5788469706</v>
      </c>
      <c r="I440" s="23">
        <f ca="1">MAX(0,ROUND($I$7-$H$7-H440-SUM($G$8:G440),0))</f>
        <v>0</v>
      </c>
      <c r="J440" s="208">
        <f t="shared" ca="1" si="49"/>
        <v>432</v>
      </c>
    </row>
    <row r="441" spans="1:10" ht="15.75" customHeight="1" thickBot="1">
      <c r="A441" s="237">
        <f t="shared" ca="1" si="50"/>
        <v>59459</v>
      </c>
      <c r="B441" s="238">
        <f t="shared" ca="1" si="51"/>
        <v>889379</v>
      </c>
      <c r="C441" s="238">
        <f t="shared" ca="1" si="52"/>
        <v>0</v>
      </c>
      <c r="D441" s="155">
        <f t="shared" ca="1" si="53"/>
        <v>433</v>
      </c>
      <c r="E441" s="209">
        <f t="shared" ca="1" si="48"/>
        <v>1</v>
      </c>
      <c r="F441" s="10">
        <f t="shared" ca="1" si="54"/>
        <v>59459</v>
      </c>
      <c r="G441" s="156">
        <f t="shared" ca="1" si="55"/>
        <v>889379.2668536345</v>
      </c>
      <c r="H441" s="156">
        <f ca="1">SUM($G$8:G441)*gamma</f>
        <v>3804932.9568525795</v>
      </c>
      <c r="I441" s="23">
        <f ca="1">MAX(0,ROUND($I$7-$H$7-H441-SUM($G$8:G441),0))</f>
        <v>0</v>
      </c>
      <c r="J441" s="208">
        <f t="shared" ca="1" si="49"/>
        <v>433</v>
      </c>
    </row>
    <row r="442" spans="1:10" ht="15.75" customHeight="1" thickBot="1">
      <c r="A442" s="237">
        <f t="shared" ca="1" si="50"/>
        <v>59490</v>
      </c>
      <c r="B442" s="238">
        <f t="shared" ca="1" si="51"/>
        <v>889379</v>
      </c>
      <c r="C442" s="238">
        <f t="shared" ca="1" si="52"/>
        <v>0</v>
      </c>
      <c r="D442" s="155">
        <f t="shared" ca="1" si="53"/>
        <v>434</v>
      </c>
      <c r="E442" s="209">
        <f t="shared" ca="1" si="48"/>
        <v>2</v>
      </c>
      <c r="F442" s="10">
        <f t="shared" ca="1" si="54"/>
        <v>59490</v>
      </c>
      <c r="G442" s="156">
        <f t="shared" ca="1" si="55"/>
        <v>889379.2668536345</v>
      </c>
      <c r="H442" s="156">
        <f ca="1">SUM($G$8:G442)*gamma</f>
        <v>3831614.3348581884</v>
      </c>
      <c r="I442" s="23">
        <f ca="1">MAX(0,ROUND($I$7-$H$7-H442-SUM($G$8:G442),0))</f>
        <v>0</v>
      </c>
      <c r="J442" s="208">
        <f t="shared" ca="1" si="49"/>
        <v>434</v>
      </c>
    </row>
    <row r="443" spans="1:10" ht="15.75" customHeight="1" thickBot="1">
      <c r="A443" s="237">
        <f t="shared" ca="1" si="50"/>
        <v>59520</v>
      </c>
      <c r="B443" s="238">
        <f t="shared" ca="1" si="51"/>
        <v>889379</v>
      </c>
      <c r="C443" s="238">
        <f t="shared" ca="1" si="52"/>
        <v>0</v>
      </c>
      <c r="D443" s="155">
        <f t="shared" ca="1" si="53"/>
        <v>435</v>
      </c>
      <c r="E443" s="209">
        <f t="shared" ca="1" si="48"/>
        <v>3</v>
      </c>
      <c r="F443" s="10">
        <f t="shared" ca="1" si="54"/>
        <v>59520</v>
      </c>
      <c r="G443" s="156">
        <f t="shared" ca="1" si="55"/>
        <v>889379.2668536345</v>
      </c>
      <c r="H443" s="156">
        <f ca="1">SUM($G$8:G443)*gamma</f>
        <v>3858295.7128637973</v>
      </c>
      <c r="I443" s="23">
        <f ca="1">MAX(0,ROUND($I$7-$H$7-H443-SUM($G$8:G443),0))</f>
        <v>0</v>
      </c>
      <c r="J443" s="208">
        <f t="shared" ca="1" si="49"/>
        <v>435</v>
      </c>
    </row>
    <row r="444" spans="1:10" ht="15.75" customHeight="1" thickBot="1">
      <c r="A444" s="237">
        <f t="shared" ca="1" si="50"/>
        <v>59551</v>
      </c>
      <c r="B444" s="238">
        <f t="shared" ca="1" si="51"/>
        <v>889379</v>
      </c>
      <c r="C444" s="238">
        <f t="shared" ca="1" si="52"/>
        <v>0</v>
      </c>
      <c r="D444" s="155">
        <f t="shared" ca="1" si="53"/>
        <v>436</v>
      </c>
      <c r="E444" s="209">
        <f t="shared" ca="1" si="48"/>
        <v>4</v>
      </c>
      <c r="F444" s="10">
        <f t="shared" ca="1" si="54"/>
        <v>59551</v>
      </c>
      <c r="G444" s="156">
        <f t="shared" ca="1" si="55"/>
        <v>889379.2668536345</v>
      </c>
      <c r="H444" s="156">
        <f ca="1">SUM($G$8:G444)*gamma</f>
        <v>3884977.0908694062</v>
      </c>
      <c r="I444" s="23">
        <f ca="1">MAX(0,ROUND($I$7-$H$7-H444-SUM($G$8:G444),0))</f>
        <v>0</v>
      </c>
      <c r="J444" s="208">
        <f t="shared" ca="1" si="49"/>
        <v>436</v>
      </c>
    </row>
    <row r="445" spans="1:10" ht="15.75" customHeight="1" thickBot="1">
      <c r="A445" s="237">
        <f t="shared" ca="1" si="50"/>
        <v>59582</v>
      </c>
      <c r="B445" s="238">
        <f t="shared" ca="1" si="51"/>
        <v>889379</v>
      </c>
      <c r="C445" s="238">
        <f t="shared" ca="1" si="52"/>
        <v>0</v>
      </c>
      <c r="D445" s="155">
        <f t="shared" ca="1" si="53"/>
        <v>437</v>
      </c>
      <c r="E445" s="209">
        <f t="shared" ca="1" si="48"/>
        <v>5</v>
      </c>
      <c r="F445" s="10">
        <f t="shared" ca="1" si="54"/>
        <v>59582</v>
      </c>
      <c r="G445" s="156">
        <f t="shared" ca="1" si="55"/>
        <v>889379.2668536345</v>
      </c>
      <c r="H445" s="156">
        <f ca="1">SUM($G$8:G445)*gamma</f>
        <v>3911658.4688750152</v>
      </c>
      <c r="I445" s="23">
        <f ca="1">MAX(0,ROUND($I$7-$H$7-H445-SUM($G$8:G445),0))</f>
        <v>0</v>
      </c>
      <c r="J445" s="208">
        <f t="shared" ca="1" si="49"/>
        <v>437</v>
      </c>
    </row>
    <row r="446" spans="1:10" ht="15.75" customHeight="1" thickBot="1">
      <c r="A446" s="237">
        <f t="shared" ca="1" si="50"/>
        <v>59610</v>
      </c>
      <c r="B446" s="238">
        <f t="shared" ca="1" si="51"/>
        <v>889379</v>
      </c>
      <c r="C446" s="238">
        <f t="shared" ca="1" si="52"/>
        <v>0</v>
      </c>
      <c r="D446" s="155">
        <f t="shared" ca="1" si="53"/>
        <v>438</v>
      </c>
      <c r="E446" s="209">
        <f t="shared" ca="1" si="48"/>
        <v>6</v>
      </c>
      <c r="F446" s="10">
        <f t="shared" ca="1" si="54"/>
        <v>59610</v>
      </c>
      <c r="G446" s="156">
        <f t="shared" ca="1" si="55"/>
        <v>889379.2668536345</v>
      </c>
      <c r="H446" s="156">
        <f ca="1">SUM($G$8:G446)*gamma</f>
        <v>3938339.8468806241</v>
      </c>
      <c r="I446" s="23">
        <f ca="1">MAX(0,ROUND($I$7-$H$7-H446-SUM($G$8:G446),0))</f>
        <v>0</v>
      </c>
      <c r="J446" s="208">
        <f t="shared" ca="1" si="49"/>
        <v>438</v>
      </c>
    </row>
    <row r="447" spans="1:10" ht="15.75" customHeight="1" thickBot="1">
      <c r="A447" s="237">
        <f t="shared" ca="1" si="50"/>
        <v>59641</v>
      </c>
      <c r="B447" s="238">
        <f t="shared" ca="1" si="51"/>
        <v>889379</v>
      </c>
      <c r="C447" s="238">
        <f t="shared" ca="1" si="52"/>
        <v>0</v>
      </c>
      <c r="D447" s="155">
        <f t="shared" ca="1" si="53"/>
        <v>439</v>
      </c>
      <c r="E447" s="209">
        <f t="shared" ca="1" si="48"/>
        <v>7</v>
      </c>
      <c r="F447" s="10">
        <f t="shared" ca="1" si="54"/>
        <v>59641</v>
      </c>
      <c r="G447" s="156">
        <f t="shared" ca="1" si="55"/>
        <v>889379.2668536345</v>
      </c>
      <c r="H447" s="156">
        <f ca="1">SUM($G$8:G447)*gamma</f>
        <v>3965021.224886233</v>
      </c>
      <c r="I447" s="23">
        <f ca="1">MAX(0,ROUND($I$7-$H$7-H447-SUM($G$8:G447),0))</f>
        <v>0</v>
      </c>
      <c r="J447" s="208">
        <f t="shared" ca="1" si="49"/>
        <v>439</v>
      </c>
    </row>
    <row r="448" spans="1:10" ht="15.75" customHeight="1" thickBot="1">
      <c r="A448" s="237">
        <f t="shared" ca="1" si="50"/>
        <v>59671</v>
      </c>
      <c r="B448" s="238">
        <f t="shared" ca="1" si="51"/>
        <v>889379</v>
      </c>
      <c r="C448" s="238">
        <f t="shared" ca="1" si="52"/>
        <v>0</v>
      </c>
      <c r="D448" s="155">
        <f t="shared" ca="1" si="53"/>
        <v>440</v>
      </c>
      <c r="E448" s="209">
        <f t="shared" ca="1" si="48"/>
        <v>8</v>
      </c>
      <c r="F448" s="10">
        <f t="shared" ca="1" si="54"/>
        <v>59671</v>
      </c>
      <c r="G448" s="156">
        <f t="shared" ca="1" si="55"/>
        <v>889379.2668536345</v>
      </c>
      <c r="H448" s="156">
        <f ca="1">SUM($G$8:G448)*gamma</f>
        <v>3991702.6028918419</v>
      </c>
      <c r="I448" s="23">
        <f ca="1">MAX(0,ROUND($I$7-$H$7-H448-SUM($G$8:G448),0))</f>
        <v>0</v>
      </c>
      <c r="J448" s="208">
        <f t="shared" ca="1" si="49"/>
        <v>440</v>
      </c>
    </row>
    <row r="449" spans="1:10" ht="15.75" customHeight="1" thickBot="1">
      <c r="A449" s="237">
        <f t="shared" ca="1" si="50"/>
        <v>59702</v>
      </c>
      <c r="B449" s="238">
        <f t="shared" ca="1" si="51"/>
        <v>889379</v>
      </c>
      <c r="C449" s="238">
        <f t="shared" ca="1" si="52"/>
        <v>0</v>
      </c>
      <c r="D449" s="155">
        <f t="shared" ca="1" si="53"/>
        <v>441</v>
      </c>
      <c r="E449" s="209">
        <f t="shared" ca="1" si="48"/>
        <v>9</v>
      </c>
      <c r="F449" s="10">
        <f t="shared" ca="1" si="54"/>
        <v>59702</v>
      </c>
      <c r="G449" s="156">
        <f t="shared" ca="1" si="55"/>
        <v>889379.2668536345</v>
      </c>
      <c r="H449" s="156">
        <f ca="1">SUM($G$8:G449)*gamma</f>
        <v>4018383.9808974508</v>
      </c>
      <c r="I449" s="23">
        <f ca="1">MAX(0,ROUND($I$7-$H$7-H449-SUM($G$8:G449),0))</f>
        <v>0</v>
      </c>
      <c r="J449" s="208">
        <f t="shared" ca="1" si="49"/>
        <v>441</v>
      </c>
    </row>
    <row r="450" spans="1:10" ht="15.75" customHeight="1" thickBot="1">
      <c r="A450" s="237">
        <f t="shared" ca="1" si="50"/>
        <v>59732</v>
      </c>
      <c r="B450" s="238">
        <f t="shared" ca="1" si="51"/>
        <v>889379</v>
      </c>
      <c r="C450" s="238">
        <f t="shared" ca="1" si="52"/>
        <v>0</v>
      </c>
      <c r="D450" s="155">
        <f t="shared" ca="1" si="53"/>
        <v>442</v>
      </c>
      <c r="E450" s="209">
        <f t="shared" ca="1" si="48"/>
        <v>10</v>
      </c>
      <c r="F450" s="10">
        <f t="shared" ca="1" si="54"/>
        <v>59732</v>
      </c>
      <c r="G450" s="156">
        <f t="shared" ca="1" si="55"/>
        <v>889379.2668536345</v>
      </c>
      <c r="H450" s="156">
        <f ca="1">SUM($G$8:G450)*gamma</f>
        <v>4045065.3589030597</v>
      </c>
      <c r="I450" s="23">
        <f ca="1">MAX(0,ROUND($I$7-$H$7-H450-SUM($G$8:G450),0))</f>
        <v>0</v>
      </c>
      <c r="J450" s="208">
        <f t="shared" ca="1" si="49"/>
        <v>442</v>
      </c>
    </row>
    <row r="451" spans="1:10" ht="15.75" customHeight="1" thickBot="1">
      <c r="A451" s="237">
        <f t="shared" ca="1" si="50"/>
        <v>59763</v>
      </c>
      <c r="B451" s="238">
        <f t="shared" ca="1" si="51"/>
        <v>889379</v>
      </c>
      <c r="C451" s="238">
        <f t="shared" ca="1" si="52"/>
        <v>0</v>
      </c>
      <c r="D451" s="155">
        <f t="shared" ca="1" si="53"/>
        <v>443</v>
      </c>
      <c r="E451" s="209">
        <f t="shared" ca="1" si="48"/>
        <v>11</v>
      </c>
      <c r="F451" s="10">
        <f t="shared" ca="1" si="54"/>
        <v>59763</v>
      </c>
      <c r="G451" s="156">
        <f t="shared" ca="1" si="55"/>
        <v>889379.2668536345</v>
      </c>
      <c r="H451" s="156">
        <f ca="1">SUM($G$8:G451)*gamma</f>
        <v>4071746.7369086687</v>
      </c>
      <c r="I451" s="23">
        <f ca="1">MAX(0,ROUND($I$7-$H$7-H451-SUM($G$8:G451),0))</f>
        <v>0</v>
      </c>
      <c r="J451" s="208">
        <f t="shared" ca="1" si="49"/>
        <v>443</v>
      </c>
    </row>
    <row r="452" spans="1:10" ht="15.75" customHeight="1" thickBot="1">
      <c r="A452" s="237">
        <f t="shared" ca="1" si="50"/>
        <v>59794</v>
      </c>
      <c r="B452" s="238">
        <f t="shared" ca="1" si="51"/>
        <v>960530</v>
      </c>
      <c r="C452" s="238">
        <f t="shared" ca="1" si="52"/>
        <v>0</v>
      </c>
      <c r="D452" s="155">
        <f t="shared" ca="1" si="53"/>
        <v>444</v>
      </c>
      <c r="E452" s="209">
        <f t="shared" ca="1" si="48"/>
        <v>0</v>
      </c>
      <c r="F452" s="10">
        <f t="shared" ca="1" si="54"/>
        <v>59794</v>
      </c>
      <c r="G452" s="156">
        <f t="shared" ca="1" si="55"/>
        <v>960529.60820192529</v>
      </c>
      <c r="H452" s="156">
        <f ca="1">SUM($G$8:G452)*gamma</f>
        <v>4100562.6251547262</v>
      </c>
      <c r="I452" s="23">
        <f ca="1">MAX(0,ROUND($I$7-$H$7-H452-SUM($G$8:G452),0))</f>
        <v>0</v>
      </c>
      <c r="J452" s="208">
        <f t="shared" ca="1" si="49"/>
        <v>444</v>
      </c>
    </row>
    <row r="453" spans="1:10" ht="15.75" customHeight="1" thickBot="1">
      <c r="A453" s="237">
        <f t="shared" ca="1" si="50"/>
        <v>59824</v>
      </c>
      <c r="B453" s="238">
        <f t="shared" ca="1" si="51"/>
        <v>960530</v>
      </c>
      <c r="C453" s="238">
        <f t="shared" ca="1" si="52"/>
        <v>0</v>
      </c>
      <c r="D453" s="155">
        <f t="shared" ca="1" si="53"/>
        <v>445</v>
      </c>
      <c r="E453" s="209">
        <f t="shared" ca="1" si="48"/>
        <v>1</v>
      </c>
      <c r="F453" s="10">
        <f t="shared" ca="1" si="54"/>
        <v>59824</v>
      </c>
      <c r="G453" s="156">
        <f t="shared" ca="1" si="55"/>
        <v>960529.60820192529</v>
      </c>
      <c r="H453" s="156">
        <f ca="1">SUM($G$8:G453)*gamma</f>
        <v>4129378.5134007838</v>
      </c>
      <c r="I453" s="23">
        <f ca="1">MAX(0,ROUND($I$7-$H$7-H453-SUM($G$8:G453),0))</f>
        <v>0</v>
      </c>
      <c r="J453" s="208">
        <f t="shared" ca="1" si="49"/>
        <v>445</v>
      </c>
    </row>
    <row r="454" spans="1:10" ht="15.75" customHeight="1" thickBot="1">
      <c r="A454" s="237">
        <f t="shared" ca="1" si="50"/>
        <v>59855</v>
      </c>
      <c r="B454" s="238">
        <f t="shared" ca="1" si="51"/>
        <v>960530</v>
      </c>
      <c r="C454" s="238">
        <f t="shared" ca="1" si="52"/>
        <v>0</v>
      </c>
      <c r="D454" s="155">
        <f t="shared" ca="1" si="53"/>
        <v>446</v>
      </c>
      <c r="E454" s="209">
        <f t="shared" ca="1" si="48"/>
        <v>2</v>
      </c>
      <c r="F454" s="10">
        <f t="shared" ca="1" si="54"/>
        <v>59855</v>
      </c>
      <c r="G454" s="156">
        <f t="shared" ca="1" si="55"/>
        <v>960529.60820192529</v>
      </c>
      <c r="H454" s="156">
        <f ca="1">SUM($G$8:G454)*gamma</f>
        <v>4158194.4016468413</v>
      </c>
      <c r="I454" s="23">
        <f ca="1">MAX(0,ROUND($I$7-$H$7-H454-SUM($G$8:G454),0))</f>
        <v>0</v>
      </c>
      <c r="J454" s="208">
        <f t="shared" ca="1" si="49"/>
        <v>446</v>
      </c>
    </row>
    <row r="455" spans="1:10" ht="15.75" customHeight="1" thickBot="1">
      <c r="A455" s="237">
        <f t="shared" ca="1" si="50"/>
        <v>59885</v>
      </c>
      <c r="B455" s="238">
        <f t="shared" ca="1" si="51"/>
        <v>960530</v>
      </c>
      <c r="C455" s="238">
        <f t="shared" ca="1" si="52"/>
        <v>0</v>
      </c>
      <c r="D455" s="155">
        <f t="shared" ca="1" si="53"/>
        <v>447</v>
      </c>
      <c r="E455" s="209">
        <f t="shared" ca="1" si="48"/>
        <v>3</v>
      </c>
      <c r="F455" s="10">
        <f t="shared" ca="1" si="54"/>
        <v>59885</v>
      </c>
      <c r="G455" s="156">
        <f t="shared" ca="1" si="55"/>
        <v>960529.60820192529</v>
      </c>
      <c r="H455" s="156">
        <f ca="1">SUM($G$8:G455)*gamma</f>
        <v>4187010.2898928989</v>
      </c>
      <c r="I455" s="23">
        <f ca="1">MAX(0,ROUND($I$7-$H$7-H455-SUM($G$8:G455),0))</f>
        <v>0</v>
      </c>
      <c r="J455" s="208">
        <f t="shared" ca="1" si="49"/>
        <v>447</v>
      </c>
    </row>
    <row r="456" spans="1:10" ht="15.75" customHeight="1" thickBot="1">
      <c r="A456" s="237">
        <f t="shared" ca="1" si="50"/>
        <v>59916</v>
      </c>
      <c r="B456" s="238">
        <f t="shared" ca="1" si="51"/>
        <v>960530</v>
      </c>
      <c r="C456" s="238">
        <f t="shared" ca="1" si="52"/>
        <v>0</v>
      </c>
      <c r="D456" s="155">
        <f t="shared" ca="1" si="53"/>
        <v>448</v>
      </c>
      <c r="E456" s="209">
        <f t="shared" ref="E456:E519" ca="1" si="56">MOD(J456,12)</f>
        <v>4</v>
      </c>
      <c r="F456" s="10">
        <f t="shared" ca="1" si="54"/>
        <v>59916</v>
      </c>
      <c r="G456" s="156">
        <f t="shared" ca="1" si="55"/>
        <v>960529.60820192529</v>
      </c>
      <c r="H456" s="156">
        <f ca="1">SUM($G$8:G456)*gamma</f>
        <v>4215826.1781389564</v>
      </c>
      <c r="I456" s="23">
        <f ca="1">MAX(0,ROUND($I$7-$H$7-H456-SUM($G$8:G456),0))</f>
        <v>0</v>
      </c>
      <c r="J456" s="208">
        <f t="shared" ref="J456:J519" ca="1" si="57">IF(G455&gt;0,1+J455,0)</f>
        <v>448</v>
      </c>
    </row>
    <row r="457" spans="1:10" ht="15.75" customHeight="1" thickBot="1">
      <c r="A457" s="237">
        <f t="shared" ref="A457:A520" ca="1" si="58">IF(d_plast&gt;=F457,F457,"")</f>
        <v>59947</v>
      </c>
      <c r="B457" s="238">
        <f t="shared" ref="B457:B520" ca="1" si="59">IF(A457="","",ROUND(G457,0))</f>
        <v>960530</v>
      </c>
      <c r="C457" s="238">
        <f t="shared" ref="C457:C520" ca="1" si="60">IF(A457&lt;&gt;"",IF(end=2,IF(D457&lt;24,0,I457),I457),"")</f>
        <v>0</v>
      </c>
      <c r="D457" s="155">
        <f t="shared" ref="D457:D520" ca="1" si="61">D456+freq_2</f>
        <v>449</v>
      </c>
      <c r="E457" s="209">
        <f t="shared" ca="1" si="56"/>
        <v>5</v>
      </c>
      <c r="F457" s="10">
        <f t="shared" ref="F457:F520" ca="1" si="62">EDATE($F$8,D457)</f>
        <v>59947</v>
      </c>
      <c r="G457" s="156">
        <f t="shared" ref="G457:G520" ca="1" si="63">IF(A457&lt;d_begin,0,IF(G456=0,Ben,IF(E457=0,G456*(1+index),G456)))</f>
        <v>960529.60820192529</v>
      </c>
      <c r="H457" s="156">
        <f ca="1">SUM($G$8:G457)*gamma</f>
        <v>4244642.066385014</v>
      </c>
      <c r="I457" s="23">
        <f ca="1">MAX(0,ROUND($I$7-$H$7-H457-SUM($G$8:G457),0))</f>
        <v>0</v>
      </c>
      <c r="J457" s="208">
        <f t="shared" ca="1" si="57"/>
        <v>449</v>
      </c>
    </row>
    <row r="458" spans="1:10" ht="15.75" customHeight="1" thickBot="1">
      <c r="A458" s="237">
        <f t="shared" ca="1" si="58"/>
        <v>59976</v>
      </c>
      <c r="B458" s="238">
        <f t="shared" ca="1" si="59"/>
        <v>960530</v>
      </c>
      <c r="C458" s="238">
        <f t="shared" ca="1" si="60"/>
        <v>0</v>
      </c>
      <c r="D458" s="155">
        <f t="shared" ca="1" si="61"/>
        <v>450</v>
      </c>
      <c r="E458" s="209">
        <f t="shared" ca="1" si="56"/>
        <v>6</v>
      </c>
      <c r="F458" s="10">
        <f t="shared" ca="1" si="62"/>
        <v>59976</v>
      </c>
      <c r="G458" s="156">
        <f t="shared" ca="1" si="63"/>
        <v>960529.60820192529</v>
      </c>
      <c r="H458" s="156">
        <f ca="1">SUM($G$8:G458)*gamma</f>
        <v>4273457.9546310715</v>
      </c>
      <c r="I458" s="23">
        <f ca="1">MAX(0,ROUND($I$7-$H$7-H458-SUM($G$8:G458),0))</f>
        <v>0</v>
      </c>
      <c r="J458" s="208">
        <f t="shared" ca="1" si="57"/>
        <v>450</v>
      </c>
    </row>
    <row r="459" spans="1:10" ht="15.75" customHeight="1" thickBot="1">
      <c r="A459" s="237">
        <f t="shared" ca="1" si="58"/>
        <v>60007</v>
      </c>
      <c r="B459" s="238">
        <f t="shared" ca="1" si="59"/>
        <v>960530</v>
      </c>
      <c r="C459" s="238">
        <f t="shared" ca="1" si="60"/>
        <v>0</v>
      </c>
      <c r="D459" s="155">
        <f t="shared" ca="1" si="61"/>
        <v>451</v>
      </c>
      <c r="E459" s="209">
        <f t="shared" ca="1" si="56"/>
        <v>7</v>
      </c>
      <c r="F459" s="10">
        <f t="shared" ca="1" si="62"/>
        <v>60007</v>
      </c>
      <c r="G459" s="156">
        <f t="shared" ca="1" si="63"/>
        <v>960529.60820192529</v>
      </c>
      <c r="H459" s="156">
        <f ca="1">SUM($G$8:G459)*gamma</f>
        <v>4302273.8428771291</v>
      </c>
      <c r="I459" s="23">
        <f ca="1">MAX(0,ROUND($I$7-$H$7-H459-SUM($G$8:G459),0))</f>
        <v>0</v>
      </c>
      <c r="J459" s="208">
        <f t="shared" ca="1" si="57"/>
        <v>451</v>
      </c>
    </row>
    <row r="460" spans="1:10" ht="15.75" customHeight="1" thickBot="1">
      <c r="A460" s="237">
        <f t="shared" ca="1" si="58"/>
        <v>60037</v>
      </c>
      <c r="B460" s="238">
        <f t="shared" ca="1" si="59"/>
        <v>960530</v>
      </c>
      <c r="C460" s="238">
        <f t="shared" ca="1" si="60"/>
        <v>0</v>
      </c>
      <c r="D460" s="155">
        <f t="shared" ca="1" si="61"/>
        <v>452</v>
      </c>
      <c r="E460" s="209">
        <f t="shared" ca="1" si="56"/>
        <v>8</v>
      </c>
      <c r="F460" s="10">
        <f t="shared" ca="1" si="62"/>
        <v>60037</v>
      </c>
      <c r="G460" s="156">
        <f t="shared" ca="1" si="63"/>
        <v>960529.60820192529</v>
      </c>
      <c r="H460" s="156">
        <f ca="1">SUM($G$8:G460)*gamma</f>
        <v>4331089.7311231866</v>
      </c>
      <c r="I460" s="23">
        <f ca="1">MAX(0,ROUND($I$7-$H$7-H460-SUM($G$8:G460),0))</f>
        <v>0</v>
      </c>
      <c r="J460" s="208">
        <f t="shared" ca="1" si="57"/>
        <v>452</v>
      </c>
    </row>
    <row r="461" spans="1:10" ht="15.75" customHeight="1" thickBot="1">
      <c r="A461" s="237">
        <f t="shared" ca="1" si="58"/>
        <v>60068</v>
      </c>
      <c r="B461" s="238">
        <f t="shared" ca="1" si="59"/>
        <v>960530</v>
      </c>
      <c r="C461" s="238">
        <f t="shared" ca="1" si="60"/>
        <v>0</v>
      </c>
      <c r="D461" s="155">
        <f t="shared" ca="1" si="61"/>
        <v>453</v>
      </c>
      <c r="E461" s="209">
        <f t="shared" ca="1" si="56"/>
        <v>9</v>
      </c>
      <c r="F461" s="10">
        <f t="shared" ca="1" si="62"/>
        <v>60068</v>
      </c>
      <c r="G461" s="156">
        <f t="shared" ca="1" si="63"/>
        <v>960529.60820192529</v>
      </c>
      <c r="H461" s="156">
        <f ca="1">SUM($G$8:G461)*gamma</f>
        <v>4359905.6193692451</v>
      </c>
      <c r="I461" s="23">
        <f ca="1">MAX(0,ROUND($I$7-$H$7-H461-SUM($G$8:G461),0))</f>
        <v>0</v>
      </c>
      <c r="J461" s="208">
        <f t="shared" ca="1" si="57"/>
        <v>453</v>
      </c>
    </row>
    <row r="462" spans="1:10" ht="15.75" customHeight="1" thickBot="1">
      <c r="A462" s="237">
        <f t="shared" ca="1" si="58"/>
        <v>60098</v>
      </c>
      <c r="B462" s="238">
        <f t="shared" ca="1" si="59"/>
        <v>960530</v>
      </c>
      <c r="C462" s="238">
        <f t="shared" ca="1" si="60"/>
        <v>0</v>
      </c>
      <c r="D462" s="155">
        <f t="shared" ca="1" si="61"/>
        <v>454</v>
      </c>
      <c r="E462" s="209">
        <f t="shared" ca="1" si="56"/>
        <v>10</v>
      </c>
      <c r="F462" s="10">
        <f t="shared" ca="1" si="62"/>
        <v>60098</v>
      </c>
      <c r="G462" s="156">
        <f t="shared" ca="1" si="63"/>
        <v>960529.60820192529</v>
      </c>
      <c r="H462" s="156">
        <f ca="1">SUM($G$8:G462)*gamma</f>
        <v>4388721.5076153027</v>
      </c>
      <c r="I462" s="23">
        <f ca="1">MAX(0,ROUND($I$7-$H$7-H462-SUM($G$8:G462),0))</f>
        <v>0</v>
      </c>
      <c r="J462" s="208">
        <f t="shared" ca="1" si="57"/>
        <v>454</v>
      </c>
    </row>
    <row r="463" spans="1:10" ht="15.75" customHeight="1" thickBot="1">
      <c r="A463" s="237">
        <f t="shared" ca="1" si="58"/>
        <v>60129</v>
      </c>
      <c r="B463" s="238">
        <f t="shared" ca="1" si="59"/>
        <v>960530</v>
      </c>
      <c r="C463" s="238">
        <f t="shared" ca="1" si="60"/>
        <v>0</v>
      </c>
      <c r="D463" s="155">
        <f t="shared" ca="1" si="61"/>
        <v>455</v>
      </c>
      <c r="E463" s="209">
        <f t="shared" ca="1" si="56"/>
        <v>11</v>
      </c>
      <c r="F463" s="10">
        <f t="shared" ca="1" si="62"/>
        <v>60129</v>
      </c>
      <c r="G463" s="156">
        <f t="shared" ca="1" si="63"/>
        <v>960529.60820192529</v>
      </c>
      <c r="H463" s="156">
        <f ca="1">SUM($G$8:G463)*gamma</f>
        <v>4417537.3958613602</v>
      </c>
      <c r="I463" s="23">
        <f ca="1">MAX(0,ROUND($I$7-$H$7-H463-SUM($G$8:G463),0))</f>
        <v>0</v>
      </c>
      <c r="J463" s="208">
        <f t="shared" ca="1" si="57"/>
        <v>455</v>
      </c>
    </row>
    <row r="464" spans="1:10" ht="15.75" customHeight="1" thickBot="1">
      <c r="A464" s="237">
        <f t="shared" ca="1" si="58"/>
        <v>60160</v>
      </c>
      <c r="B464" s="238">
        <f t="shared" ca="1" si="59"/>
        <v>1037372</v>
      </c>
      <c r="C464" s="238">
        <f t="shared" ca="1" si="60"/>
        <v>0</v>
      </c>
      <c r="D464" s="155">
        <f t="shared" ca="1" si="61"/>
        <v>456</v>
      </c>
      <c r="E464" s="209">
        <f t="shared" ca="1" si="56"/>
        <v>0</v>
      </c>
      <c r="F464" s="10">
        <f t="shared" ca="1" si="62"/>
        <v>60160</v>
      </c>
      <c r="G464" s="156">
        <f t="shared" ca="1" si="63"/>
        <v>1037371.9768580794</v>
      </c>
      <c r="H464" s="156">
        <f ca="1">SUM($G$8:G464)*gamma</f>
        <v>4448658.5551671023</v>
      </c>
      <c r="I464" s="23">
        <f ca="1">MAX(0,ROUND($I$7-$H$7-H464-SUM($G$8:G464),0))</f>
        <v>0</v>
      </c>
      <c r="J464" s="208">
        <f t="shared" ca="1" si="57"/>
        <v>456</v>
      </c>
    </row>
    <row r="465" spans="1:10" ht="15.75" customHeight="1" thickBot="1">
      <c r="A465" s="237">
        <f t="shared" ca="1" si="58"/>
        <v>60190</v>
      </c>
      <c r="B465" s="238">
        <f t="shared" ca="1" si="59"/>
        <v>1037372</v>
      </c>
      <c r="C465" s="238">
        <f t="shared" ca="1" si="60"/>
        <v>0</v>
      </c>
      <c r="D465" s="155">
        <f t="shared" ca="1" si="61"/>
        <v>457</v>
      </c>
      <c r="E465" s="209">
        <f t="shared" ca="1" si="56"/>
        <v>1</v>
      </c>
      <c r="F465" s="10">
        <f t="shared" ca="1" si="62"/>
        <v>60190</v>
      </c>
      <c r="G465" s="156">
        <f t="shared" ca="1" si="63"/>
        <v>1037371.9768580794</v>
      </c>
      <c r="H465" s="156">
        <f ca="1">SUM($G$8:G465)*gamma</f>
        <v>4479779.7144728452</v>
      </c>
      <c r="I465" s="23">
        <f ca="1">MAX(0,ROUND($I$7-$H$7-H465-SUM($G$8:G465),0))</f>
        <v>0</v>
      </c>
      <c r="J465" s="208">
        <f t="shared" ca="1" si="57"/>
        <v>457</v>
      </c>
    </row>
    <row r="466" spans="1:10" ht="15.75" customHeight="1" thickBot="1">
      <c r="A466" s="237">
        <f t="shared" ca="1" si="58"/>
        <v>60221</v>
      </c>
      <c r="B466" s="238">
        <f t="shared" ca="1" si="59"/>
        <v>1037372</v>
      </c>
      <c r="C466" s="238">
        <f t="shared" ca="1" si="60"/>
        <v>0</v>
      </c>
      <c r="D466" s="155">
        <f t="shared" ca="1" si="61"/>
        <v>458</v>
      </c>
      <c r="E466" s="209">
        <f t="shared" ca="1" si="56"/>
        <v>2</v>
      </c>
      <c r="F466" s="10">
        <f t="shared" ca="1" si="62"/>
        <v>60221</v>
      </c>
      <c r="G466" s="156">
        <f t="shared" ca="1" si="63"/>
        <v>1037371.9768580794</v>
      </c>
      <c r="H466" s="156">
        <f ca="1">SUM($G$8:G466)*gamma</f>
        <v>4510900.8737785872</v>
      </c>
      <c r="I466" s="23">
        <f ca="1">MAX(0,ROUND($I$7-$H$7-H466-SUM($G$8:G466),0))</f>
        <v>0</v>
      </c>
      <c r="J466" s="208">
        <f t="shared" ca="1" si="57"/>
        <v>458</v>
      </c>
    </row>
    <row r="467" spans="1:10" ht="15.75" customHeight="1" thickBot="1">
      <c r="A467" s="237">
        <f t="shared" ca="1" si="58"/>
        <v>60251</v>
      </c>
      <c r="B467" s="238">
        <f t="shared" ca="1" si="59"/>
        <v>1037372</v>
      </c>
      <c r="C467" s="238">
        <f t="shared" ca="1" si="60"/>
        <v>0</v>
      </c>
      <c r="D467" s="155">
        <f t="shared" ca="1" si="61"/>
        <v>459</v>
      </c>
      <c r="E467" s="209">
        <f t="shared" ca="1" si="56"/>
        <v>3</v>
      </c>
      <c r="F467" s="10">
        <f t="shared" ca="1" si="62"/>
        <v>60251</v>
      </c>
      <c r="G467" s="156">
        <f t="shared" ca="1" si="63"/>
        <v>1037371.9768580794</v>
      </c>
      <c r="H467" s="156">
        <f ca="1">SUM($G$8:G467)*gamma</f>
        <v>4542022.0330843292</v>
      </c>
      <c r="I467" s="23">
        <f ca="1">MAX(0,ROUND($I$7-$H$7-H467-SUM($G$8:G467),0))</f>
        <v>0</v>
      </c>
      <c r="J467" s="208">
        <f t="shared" ca="1" si="57"/>
        <v>459</v>
      </c>
    </row>
    <row r="468" spans="1:10" ht="15.75" customHeight="1" thickBot="1">
      <c r="A468" s="237">
        <f t="shared" ca="1" si="58"/>
        <v>60282</v>
      </c>
      <c r="B468" s="238">
        <f t="shared" ca="1" si="59"/>
        <v>1037372</v>
      </c>
      <c r="C468" s="238">
        <f t="shared" ca="1" si="60"/>
        <v>0</v>
      </c>
      <c r="D468" s="155">
        <f t="shared" ca="1" si="61"/>
        <v>460</v>
      </c>
      <c r="E468" s="209">
        <f t="shared" ca="1" si="56"/>
        <v>4</v>
      </c>
      <c r="F468" s="10">
        <f t="shared" ca="1" si="62"/>
        <v>60282</v>
      </c>
      <c r="G468" s="156">
        <f t="shared" ca="1" si="63"/>
        <v>1037371.9768580794</v>
      </c>
      <c r="H468" s="156">
        <f ca="1">SUM($G$8:G468)*gamma</f>
        <v>4573143.1923900722</v>
      </c>
      <c r="I468" s="23">
        <f ca="1">MAX(0,ROUND($I$7-$H$7-H468-SUM($G$8:G468),0))</f>
        <v>0</v>
      </c>
      <c r="J468" s="208">
        <f t="shared" ca="1" si="57"/>
        <v>460</v>
      </c>
    </row>
    <row r="469" spans="1:10" ht="15.75" customHeight="1" thickBot="1">
      <c r="A469" s="237">
        <f t="shared" ca="1" si="58"/>
        <v>60313</v>
      </c>
      <c r="B469" s="238">
        <f t="shared" ca="1" si="59"/>
        <v>1037372</v>
      </c>
      <c r="C469" s="238">
        <f t="shared" ca="1" si="60"/>
        <v>0</v>
      </c>
      <c r="D469" s="155">
        <f t="shared" ca="1" si="61"/>
        <v>461</v>
      </c>
      <c r="E469" s="209">
        <f t="shared" ca="1" si="56"/>
        <v>5</v>
      </c>
      <c r="F469" s="10">
        <f t="shared" ca="1" si="62"/>
        <v>60313</v>
      </c>
      <c r="G469" s="156">
        <f t="shared" ca="1" si="63"/>
        <v>1037371.9768580794</v>
      </c>
      <c r="H469" s="156">
        <f ca="1">SUM($G$8:G469)*gamma</f>
        <v>4604264.3516958142</v>
      </c>
      <c r="I469" s="23">
        <f ca="1">MAX(0,ROUND($I$7-$H$7-H469-SUM($G$8:G469),0))</f>
        <v>0</v>
      </c>
      <c r="J469" s="208">
        <f t="shared" ca="1" si="57"/>
        <v>461</v>
      </c>
    </row>
    <row r="470" spans="1:10" ht="15.75" customHeight="1" thickBot="1">
      <c r="A470" s="237">
        <f t="shared" ca="1" si="58"/>
        <v>60341</v>
      </c>
      <c r="B470" s="238">
        <f t="shared" ca="1" si="59"/>
        <v>1037372</v>
      </c>
      <c r="C470" s="238">
        <f t="shared" ca="1" si="60"/>
        <v>0</v>
      </c>
      <c r="D470" s="155">
        <f t="shared" ca="1" si="61"/>
        <v>462</v>
      </c>
      <c r="E470" s="209">
        <f t="shared" ca="1" si="56"/>
        <v>6</v>
      </c>
      <c r="F470" s="10">
        <f t="shared" ca="1" si="62"/>
        <v>60341</v>
      </c>
      <c r="G470" s="156">
        <f t="shared" ca="1" si="63"/>
        <v>1037371.9768580794</v>
      </c>
      <c r="H470" s="156">
        <f ca="1">SUM($G$8:G470)*gamma</f>
        <v>4635385.5110015562</v>
      </c>
      <c r="I470" s="23">
        <f ca="1">MAX(0,ROUND($I$7-$H$7-H470-SUM($G$8:G470),0))</f>
        <v>0</v>
      </c>
      <c r="J470" s="208">
        <f t="shared" ca="1" si="57"/>
        <v>462</v>
      </c>
    </row>
    <row r="471" spans="1:10" ht="15.75" customHeight="1" thickBot="1">
      <c r="A471" s="237">
        <f t="shared" ca="1" si="58"/>
        <v>60372</v>
      </c>
      <c r="B471" s="238">
        <f t="shared" ca="1" si="59"/>
        <v>1037372</v>
      </c>
      <c r="C471" s="238">
        <f t="shared" ca="1" si="60"/>
        <v>0</v>
      </c>
      <c r="D471" s="155">
        <f t="shared" ca="1" si="61"/>
        <v>463</v>
      </c>
      <c r="E471" s="209">
        <f t="shared" ca="1" si="56"/>
        <v>7</v>
      </c>
      <c r="F471" s="10">
        <f t="shared" ca="1" si="62"/>
        <v>60372</v>
      </c>
      <c r="G471" s="156">
        <f t="shared" ca="1" si="63"/>
        <v>1037371.9768580794</v>
      </c>
      <c r="H471" s="156">
        <f ca="1">SUM($G$8:G471)*gamma</f>
        <v>4666506.6703072991</v>
      </c>
      <c r="I471" s="23">
        <f ca="1">MAX(0,ROUND($I$7-$H$7-H471-SUM($G$8:G471),0))</f>
        <v>0</v>
      </c>
      <c r="J471" s="208">
        <f t="shared" ca="1" si="57"/>
        <v>463</v>
      </c>
    </row>
    <row r="472" spans="1:10" ht="15.75" customHeight="1" thickBot="1">
      <c r="A472" s="237">
        <f t="shared" ca="1" si="58"/>
        <v>60402</v>
      </c>
      <c r="B472" s="238">
        <f t="shared" ca="1" si="59"/>
        <v>1037372</v>
      </c>
      <c r="C472" s="238">
        <f t="shared" ca="1" si="60"/>
        <v>0</v>
      </c>
      <c r="D472" s="155">
        <f t="shared" ca="1" si="61"/>
        <v>464</v>
      </c>
      <c r="E472" s="209">
        <f t="shared" ca="1" si="56"/>
        <v>8</v>
      </c>
      <c r="F472" s="10">
        <f t="shared" ca="1" si="62"/>
        <v>60402</v>
      </c>
      <c r="G472" s="156">
        <f t="shared" ca="1" si="63"/>
        <v>1037371.9768580794</v>
      </c>
      <c r="H472" s="156">
        <f ca="1">SUM($G$8:G472)*gamma</f>
        <v>4697627.8296130411</v>
      </c>
      <c r="I472" s="23">
        <f ca="1">MAX(0,ROUND($I$7-$H$7-H472-SUM($G$8:G472),0))</f>
        <v>0</v>
      </c>
      <c r="J472" s="208">
        <f t="shared" ca="1" si="57"/>
        <v>464</v>
      </c>
    </row>
    <row r="473" spans="1:10" ht="15.75" customHeight="1" thickBot="1">
      <c r="A473" s="237">
        <f t="shared" ca="1" si="58"/>
        <v>60433</v>
      </c>
      <c r="B473" s="238">
        <f t="shared" ca="1" si="59"/>
        <v>1037372</v>
      </c>
      <c r="C473" s="238">
        <f t="shared" ca="1" si="60"/>
        <v>0</v>
      </c>
      <c r="D473" s="155">
        <f t="shared" ca="1" si="61"/>
        <v>465</v>
      </c>
      <c r="E473" s="209">
        <f t="shared" ca="1" si="56"/>
        <v>9</v>
      </c>
      <c r="F473" s="10">
        <f t="shared" ca="1" si="62"/>
        <v>60433</v>
      </c>
      <c r="G473" s="156">
        <f t="shared" ca="1" si="63"/>
        <v>1037371.9768580794</v>
      </c>
      <c r="H473" s="156">
        <f ca="1">SUM($G$8:G473)*gamma</f>
        <v>4728748.9889187841</v>
      </c>
      <c r="I473" s="23">
        <f ca="1">MAX(0,ROUND($I$7-$H$7-H473-SUM($G$8:G473),0))</f>
        <v>0</v>
      </c>
      <c r="J473" s="208">
        <f t="shared" ca="1" si="57"/>
        <v>465</v>
      </c>
    </row>
    <row r="474" spans="1:10" ht="15.75" customHeight="1" thickBot="1">
      <c r="A474" s="237">
        <f t="shared" ca="1" si="58"/>
        <v>60463</v>
      </c>
      <c r="B474" s="238">
        <f t="shared" ca="1" si="59"/>
        <v>1037372</v>
      </c>
      <c r="C474" s="238">
        <f t="shared" ca="1" si="60"/>
        <v>0</v>
      </c>
      <c r="D474" s="155">
        <f t="shared" ca="1" si="61"/>
        <v>466</v>
      </c>
      <c r="E474" s="209">
        <f t="shared" ca="1" si="56"/>
        <v>10</v>
      </c>
      <c r="F474" s="10">
        <f t="shared" ca="1" si="62"/>
        <v>60463</v>
      </c>
      <c r="G474" s="156">
        <f t="shared" ca="1" si="63"/>
        <v>1037371.9768580794</v>
      </c>
      <c r="H474" s="156">
        <f ca="1">SUM($G$8:G474)*gamma</f>
        <v>4759870.1482245261</v>
      </c>
      <c r="I474" s="23">
        <f ca="1">MAX(0,ROUND($I$7-$H$7-H474-SUM($G$8:G474),0))</f>
        <v>0</v>
      </c>
      <c r="J474" s="208">
        <f t="shared" ca="1" si="57"/>
        <v>466</v>
      </c>
    </row>
    <row r="475" spans="1:10" ht="15.75" customHeight="1" thickBot="1">
      <c r="A475" s="237">
        <f t="shared" ca="1" si="58"/>
        <v>60494</v>
      </c>
      <c r="B475" s="238">
        <f t="shared" ca="1" si="59"/>
        <v>1037372</v>
      </c>
      <c r="C475" s="238">
        <f t="shared" ca="1" si="60"/>
        <v>0</v>
      </c>
      <c r="D475" s="155">
        <f t="shared" ca="1" si="61"/>
        <v>467</v>
      </c>
      <c r="E475" s="209">
        <f t="shared" ca="1" si="56"/>
        <v>11</v>
      </c>
      <c r="F475" s="10">
        <f t="shared" ca="1" si="62"/>
        <v>60494</v>
      </c>
      <c r="G475" s="156">
        <f t="shared" ca="1" si="63"/>
        <v>1037371.9768580794</v>
      </c>
      <c r="H475" s="156">
        <f ca="1">SUM($G$8:G475)*gamma</f>
        <v>4790991.3075302681</v>
      </c>
      <c r="I475" s="23">
        <f ca="1">MAX(0,ROUND($I$7-$H$7-H475-SUM($G$8:G475),0))</f>
        <v>0</v>
      </c>
      <c r="J475" s="208">
        <f t="shared" ca="1" si="57"/>
        <v>467</v>
      </c>
    </row>
    <row r="476" spans="1:10" ht="15.75" customHeight="1" thickBot="1">
      <c r="A476" s="237">
        <f t="shared" ca="1" si="58"/>
        <v>60525</v>
      </c>
      <c r="B476" s="238">
        <f t="shared" ca="1" si="59"/>
        <v>1120362</v>
      </c>
      <c r="C476" s="238">
        <f t="shared" ca="1" si="60"/>
        <v>0</v>
      </c>
      <c r="D476" s="155">
        <f t="shared" ca="1" si="61"/>
        <v>468</v>
      </c>
      <c r="E476" s="209">
        <f t="shared" ca="1" si="56"/>
        <v>0</v>
      </c>
      <c r="F476" s="10">
        <f t="shared" ca="1" si="62"/>
        <v>60525</v>
      </c>
      <c r="G476" s="156">
        <f t="shared" ca="1" si="63"/>
        <v>1120361.7350067259</v>
      </c>
      <c r="H476" s="156">
        <f ca="1">SUM($G$8:G476)*gamma</f>
        <v>4824602.1595804701</v>
      </c>
      <c r="I476" s="23">
        <f ca="1">MAX(0,ROUND($I$7-$H$7-H476-SUM($G$8:G476),0))</f>
        <v>0</v>
      </c>
      <c r="J476" s="208">
        <f t="shared" ca="1" si="57"/>
        <v>468</v>
      </c>
    </row>
    <row r="477" spans="1:10" ht="15.75" customHeight="1" thickBot="1">
      <c r="A477" s="237">
        <f t="shared" ca="1" si="58"/>
        <v>60555</v>
      </c>
      <c r="B477" s="238">
        <f t="shared" ca="1" si="59"/>
        <v>1120362</v>
      </c>
      <c r="C477" s="238">
        <f t="shared" ca="1" si="60"/>
        <v>0</v>
      </c>
      <c r="D477" s="155">
        <f t="shared" ca="1" si="61"/>
        <v>469</v>
      </c>
      <c r="E477" s="209">
        <f t="shared" ca="1" si="56"/>
        <v>1</v>
      </c>
      <c r="F477" s="10">
        <f t="shared" ca="1" si="62"/>
        <v>60555</v>
      </c>
      <c r="G477" s="156">
        <f t="shared" ca="1" si="63"/>
        <v>1120361.7350067259</v>
      </c>
      <c r="H477" s="156">
        <f ca="1">SUM($G$8:G477)*gamma</f>
        <v>4858213.011630672</v>
      </c>
      <c r="I477" s="23">
        <f ca="1">MAX(0,ROUND($I$7-$H$7-H477-SUM($G$8:G477),0))</f>
        <v>0</v>
      </c>
      <c r="J477" s="208">
        <f t="shared" ca="1" si="57"/>
        <v>469</v>
      </c>
    </row>
    <row r="478" spans="1:10" ht="15.75" customHeight="1" thickBot="1">
      <c r="A478" s="237">
        <f t="shared" ca="1" si="58"/>
        <v>60586</v>
      </c>
      <c r="B478" s="238">
        <f t="shared" ca="1" si="59"/>
        <v>1120362</v>
      </c>
      <c r="C478" s="238">
        <f t="shared" ca="1" si="60"/>
        <v>0</v>
      </c>
      <c r="D478" s="155">
        <f t="shared" ca="1" si="61"/>
        <v>470</v>
      </c>
      <c r="E478" s="209">
        <f t="shared" ca="1" si="56"/>
        <v>2</v>
      </c>
      <c r="F478" s="10">
        <f t="shared" ca="1" si="62"/>
        <v>60586</v>
      </c>
      <c r="G478" s="156">
        <f t="shared" ca="1" si="63"/>
        <v>1120361.7350067259</v>
      </c>
      <c r="H478" s="156">
        <f ca="1">SUM($G$8:G478)*gamma</f>
        <v>4891823.8636808731</v>
      </c>
      <c r="I478" s="23">
        <f ca="1">MAX(0,ROUND($I$7-$H$7-H478-SUM($G$8:G478),0))</f>
        <v>0</v>
      </c>
      <c r="J478" s="208">
        <f t="shared" ca="1" si="57"/>
        <v>470</v>
      </c>
    </row>
    <row r="479" spans="1:10" ht="15.75" customHeight="1" thickBot="1">
      <c r="A479" s="237">
        <f t="shared" ca="1" si="58"/>
        <v>60616</v>
      </c>
      <c r="B479" s="238">
        <f t="shared" ca="1" si="59"/>
        <v>1120362</v>
      </c>
      <c r="C479" s="238">
        <f t="shared" ca="1" si="60"/>
        <v>0</v>
      </c>
      <c r="D479" s="155">
        <f t="shared" ca="1" si="61"/>
        <v>471</v>
      </c>
      <c r="E479" s="209">
        <f t="shared" ca="1" si="56"/>
        <v>3</v>
      </c>
      <c r="F479" s="10">
        <f t="shared" ca="1" si="62"/>
        <v>60616</v>
      </c>
      <c r="G479" s="156">
        <f t="shared" ca="1" si="63"/>
        <v>1120361.7350067259</v>
      </c>
      <c r="H479" s="156">
        <f ca="1">SUM($G$8:G479)*gamma</f>
        <v>4925434.715731075</v>
      </c>
      <c r="I479" s="23">
        <f ca="1">MAX(0,ROUND($I$7-$H$7-H479-SUM($G$8:G479),0))</f>
        <v>0</v>
      </c>
      <c r="J479" s="208">
        <f t="shared" ca="1" si="57"/>
        <v>471</v>
      </c>
    </row>
    <row r="480" spans="1:10" ht="15.75" customHeight="1" thickBot="1">
      <c r="A480" s="237">
        <f t="shared" ca="1" si="58"/>
        <v>60647</v>
      </c>
      <c r="B480" s="238">
        <f t="shared" ca="1" si="59"/>
        <v>1120362</v>
      </c>
      <c r="C480" s="238">
        <f t="shared" ca="1" si="60"/>
        <v>0</v>
      </c>
      <c r="D480" s="155">
        <f t="shared" ca="1" si="61"/>
        <v>472</v>
      </c>
      <c r="E480" s="209">
        <f t="shared" ca="1" si="56"/>
        <v>4</v>
      </c>
      <c r="F480" s="10">
        <f t="shared" ca="1" si="62"/>
        <v>60647</v>
      </c>
      <c r="G480" s="156">
        <f t="shared" ca="1" si="63"/>
        <v>1120361.7350067259</v>
      </c>
      <c r="H480" s="156">
        <f ca="1">SUM($G$8:G480)*gamma</f>
        <v>4959045.5677812761</v>
      </c>
      <c r="I480" s="23">
        <f ca="1">MAX(0,ROUND($I$7-$H$7-H480-SUM($G$8:G480),0))</f>
        <v>0</v>
      </c>
      <c r="J480" s="208">
        <f t="shared" ca="1" si="57"/>
        <v>472</v>
      </c>
    </row>
    <row r="481" spans="1:10" ht="15.75" customHeight="1" thickBot="1">
      <c r="A481" s="237">
        <f t="shared" ca="1" si="58"/>
        <v>60678</v>
      </c>
      <c r="B481" s="238">
        <f t="shared" ca="1" si="59"/>
        <v>1120362</v>
      </c>
      <c r="C481" s="238">
        <f t="shared" ca="1" si="60"/>
        <v>0</v>
      </c>
      <c r="D481" s="155">
        <f t="shared" ca="1" si="61"/>
        <v>473</v>
      </c>
      <c r="E481" s="209">
        <f t="shared" ca="1" si="56"/>
        <v>5</v>
      </c>
      <c r="F481" s="10">
        <f t="shared" ca="1" si="62"/>
        <v>60678</v>
      </c>
      <c r="G481" s="156">
        <f t="shared" ca="1" si="63"/>
        <v>1120361.7350067259</v>
      </c>
      <c r="H481" s="156">
        <f ca="1">SUM($G$8:G481)*gamma</f>
        <v>4992656.419831478</v>
      </c>
      <c r="I481" s="23">
        <f ca="1">MAX(0,ROUND($I$7-$H$7-H481-SUM($G$8:G481),0))</f>
        <v>0</v>
      </c>
      <c r="J481" s="208">
        <f t="shared" ca="1" si="57"/>
        <v>473</v>
      </c>
    </row>
    <row r="482" spans="1:10" ht="15.75" customHeight="1" thickBot="1">
      <c r="A482" s="237">
        <f t="shared" ca="1" si="58"/>
        <v>60706</v>
      </c>
      <c r="B482" s="238">
        <f t="shared" ca="1" si="59"/>
        <v>1120362</v>
      </c>
      <c r="C482" s="238">
        <f t="shared" ca="1" si="60"/>
        <v>0</v>
      </c>
      <c r="D482" s="155">
        <f t="shared" ca="1" si="61"/>
        <v>474</v>
      </c>
      <c r="E482" s="209">
        <f t="shared" ca="1" si="56"/>
        <v>6</v>
      </c>
      <c r="F482" s="10">
        <f t="shared" ca="1" si="62"/>
        <v>60706</v>
      </c>
      <c r="G482" s="156">
        <f t="shared" ca="1" si="63"/>
        <v>1120361.7350067259</v>
      </c>
      <c r="H482" s="156">
        <f ca="1">SUM($G$8:G482)*gamma</f>
        <v>5026267.27188168</v>
      </c>
      <c r="I482" s="23">
        <f ca="1">MAX(0,ROUND($I$7-$H$7-H482-SUM($G$8:G482),0))</f>
        <v>0</v>
      </c>
      <c r="J482" s="208">
        <f t="shared" ca="1" si="57"/>
        <v>474</v>
      </c>
    </row>
    <row r="483" spans="1:10" ht="15.75" customHeight="1" thickBot="1">
      <c r="A483" s="237">
        <f t="shared" ca="1" si="58"/>
        <v>60737</v>
      </c>
      <c r="B483" s="238">
        <f t="shared" ca="1" si="59"/>
        <v>1120362</v>
      </c>
      <c r="C483" s="238">
        <f t="shared" ca="1" si="60"/>
        <v>0</v>
      </c>
      <c r="D483" s="155">
        <f t="shared" ca="1" si="61"/>
        <v>475</v>
      </c>
      <c r="E483" s="209">
        <f t="shared" ca="1" si="56"/>
        <v>7</v>
      </c>
      <c r="F483" s="10">
        <f t="shared" ca="1" si="62"/>
        <v>60737</v>
      </c>
      <c r="G483" s="156">
        <f t="shared" ca="1" si="63"/>
        <v>1120361.7350067259</v>
      </c>
      <c r="H483" s="156">
        <f ca="1">SUM($G$8:G483)*gamma</f>
        <v>5059878.123931881</v>
      </c>
      <c r="I483" s="23">
        <f ca="1">MAX(0,ROUND($I$7-$H$7-H483-SUM($G$8:G483),0))</f>
        <v>0</v>
      </c>
      <c r="J483" s="208">
        <f t="shared" ca="1" si="57"/>
        <v>475</v>
      </c>
    </row>
    <row r="484" spans="1:10" ht="15.75" customHeight="1" thickBot="1">
      <c r="A484" s="237">
        <f t="shared" ca="1" si="58"/>
        <v>60767</v>
      </c>
      <c r="B484" s="238">
        <f t="shared" ca="1" si="59"/>
        <v>1120362</v>
      </c>
      <c r="C484" s="238">
        <f t="shared" ca="1" si="60"/>
        <v>0</v>
      </c>
      <c r="D484" s="155">
        <f t="shared" ca="1" si="61"/>
        <v>476</v>
      </c>
      <c r="E484" s="209">
        <f t="shared" ca="1" si="56"/>
        <v>8</v>
      </c>
      <c r="F484" s="10">
        <f t="shared" ca="1" si="62"/>
        <v>60767</v>
      </c>
      <c r="G484" s="156">
        <f t="shared" ca="1" si="63"/>
        <v>1120361.7350067259</v>
      </c>
      <c r="H484" s="156">
        <f ca="1">SUM($G$8:G484)*gamma</f>
        <v>5093488.975982083</v>
      </c>
      <c r="I484" s="23">
        <f ca="1">MAX(0,ROUND($I$7-$H$7-H484-SUM($G$8:G484),0))</f>
        <v>0</v>
      </c>
      <c r="J484" s="208">
        <f t="shared" ca="1" si="57"/>
        <v>476</v>
      </c>
    </row>
    <row r="485" spans="1:10" ht="15.75" customHeight="1" thickBot="1">
      <c r="A485" s="237">
        <f t="shared" ca="1" si="58"/>
        <v>60798</v>
      </c>
      <c r="B485" s="238">
        <f t="shared" ca="1" si="59"/>
        <v>1120362</v>
      </c>
      <c r="C485" s="238">
        <f t="shared" ca="1" si="60"/>
        <v>0</v>
      </c>
      <c r="D485" s="155">
        <f t="shared" ca="1" si="61"/>
        <v>477</v>
      </c>
      <c r="E485" s="209">
        <f t="shared" ca="1" si="56"/>
        <v>9</v>
      </c>
      <c r="F485" s="10">
        <f t="shared" ca="1" si="62"/>
        <v>60798</v>
      </c>
      <c r="G485" s="156">
        <f t="shared" ca="1" si="63"/>
        <v>1120361.7350067259</v>
      </c>
      <c r="H485" s="156">
        <f ca="1">SUM($G$8:G485)*gamma</f>
        <v>5127099.828032284</v>
      </c>
      <c r="I485" s="23">
        <f ca="1">MAX(0,ROUND($I$7-$H$7-H485-SUM($G$8:G485),0))</f>
        <v>0</v>
      </c>
      <c r="J485" s="208">
        <f t="shared" ca="1" si="57"/>
        <v>477</v>
      </c>
    </row>
    <row r="486" spans="1:10" ht="15.75" customHeight="1" thickBot="1">
      <c r="A486" s="237">
        <f t="shared" ca="1" si="58"/>
        <v>60828</v>
      </c>
      <c r="B486" s="238">
        <f t="shared" ca="1" si="59"/>
        <v>1120362</v>
      </c>
      <c r="C486" s="238">
        <f t="shared" ca="1" si="60"/>
        <v>0</v>
      </c>
      <c r="D486" s="155">
        <f t="shared" ca="1" si="61"/>
        <v>478</v>
      </c>
      <c r="E486" s="209">
        <f t="shared" ca="1" si="56"/>
        <v>10</v>
      </c>
      <c r="F486" s="10">
        <f t="shared" ca="1" si="62"/>
        <v>60828</v>
      </c>
      <c r="G486" s="156">
        <f t="shared" ca="1" si="63"/>
        <v>1120361.7350067259</v>
      </c>
      <c r="H486" s="156">
        <f ca="1">SUM($G$8:G486)*gamma</f>
        <v>5160710.680082486</v>
      </c>
      <c r="I486" s="23">
        <f ca="1">MAX(0,ROUND($I$7-$H$7-H486-SUM($G$8:G486),0))</f>
        <v>0</v>
      </c>
      <c r="J486" s="208">
        <f t="shared" ca="1" si="57"/>
        <v>478</v>
      </c>
    </row>
    <row r="487" spans="1:10" ht="15.75" customHeight="1" thickBot="1">
      <c r="A487" s="237">
        <f t="shared" ca="1" si="58"/>
        <v>60859</v>
      </c>
      <c r="B487" s="238">
        <f t="shared" ca="1" si="59"/>
        <v>1120362</v>
      </c>
      <c r="C487" s="238">
        <f t="shared" ca="1" si="60"/>
        <v>0</v>
      </c>
      <c r="D487" s="155">
        <f t="shared" ca="1" si="61"/>
        <v>479</v>
      </c>
      <c r="E487" s="209">
        <f t="shared" ca="1" si="56"/>
        <v>11</v>
      </c>
      <c r="F487" s="10">
        <f t="shared" ca="1" si="62"/>
        <v>60859</v>
      </c>
      <c r="G487" s="156">
        <f t="shared" ca="1" si="63"/>
        <v>1120361.7350067259</v>
      </c>
      <c r="H487" s="156">
        <f ca="1">SUM($G$8:G487)*gamma</f>
        <v>5194321.532132688</v>
      </c>
      <c r="I487" s="23">
        <f ca="1">MAX(0,ROUND($I$7-$H$7-H487-SUM($G$8:G487),0))</f>
        <v>0</v>
      </c>
      <c r="J487" s="208">
        <f t="shared" ca="1" si="57"/>
        <v>479</v>
      </c>
    </row>
    <row r="488" spans="1:10" ht="15.75" customHeight="1" thickBot="1">
      <c r="A488" s="237">
        <f t="shared" ca="1" si="58"/>
        <v>60890</v>
      </c>
      <c r="B488" s="238">
        <f t="shared" ca="1" si="59"/>
        <v>1209991</v>
      </c>
      <c r="C488" s="238">
        <f t="shared" ca="1" si="60"/>
        <v>0</v>
      </c>
      <c r="D488" s="155">
        <f t="shared" ca="1" si="61"/>
        <v>480</v>
      </c>
      <c r="E488" s="209">
        <f t="shared" ca="1" si="56"/>
        <v>0</v>
      </c>
      <c r="F488" s="10">
        <f t="shared" ca="1" si="62"/>
        <v>60890</v>
      </c>
      <c r="G488" s="156">
        <f t="shared" ca="1" si="63"/>
        <v>1209990.6738072641</v>
      </c>
      <c r="H488" s="156">
        <f ca="1">SUM($G$8:G488)*gamma</f>
        <v>5230621.2523469059</v>
      </c>
      <c r="I488" s="23">
        <f ca="1">MAX(0,ROUND($I$7-$H$7-H488-SUM($G$8:G488),0))</f>
        <v>0</v>
      </c>
      <c r="J488" s="208">
        <f t="shared" ca="1" si="57"/>
        <v>480</v>
      </c>
    </row>
    <row r="489" spans="1:10" ht="15.75" customHeight="1" thickBot="1">
      <c r="A489" s="237">
        <f t="shared" ca="1" si="58"/>
        <v>60920</v>
      </c>
      <c r="B489" s="238">
        <f t="shared" ca="1" si="59"/>
        <v>1209991</v>
      </c>
      <c r="C489" s="238">
        <f t="shared" ca="1" si="60"/>
        <v>0</v>
      </c>
      <c r="D489" s="155">
        <f t="shared" ca="1" si="61"/>
        <v>481</v>
      </c>
      <c r="E489" s="209">
        <f t="shared" ca="1" si="56"/>
        <v>1</v>
      </c>
      <c r="F489" s="10">
        <f t="shared" ca="1" si="62"/>
        <v>60920</v>
      </c>
      <c r="G489" s="156">
        <f t="shared" ca="1" si="63"/>
        <v>1209990.6738072641</v>
      </c>
      <c r="H489" s="156">
        <f ca="1">SUM($G$8:G489)*gamma</f>
        <v>5266920.9725611238</v>
      </c>
      <c r="I489" s="23">
        <f ca="1">MAX(0,ROUND($I$7-$H$7-H489-SUM($G$8:G489),0))</f>
        <v>0</v>
      </c>
      <c r="J489" s="208">
        <f t="shared" ca="1" si="57"/>
        <v>481</v>
      </c>
    </row>
    <row r="490" spans="1:10" ht="15.75" customHeight="1" thickBot="1">
      <c r="A490" s="237">
        <f t="shared" ca="1" si="58"/>
        <v>60951</v>
      </c>
      <c r="B490" s="238">
        <f t="shared" ca="1" si="59"/>
        <v>1209991</v>
      </c>
      <c r="C490" s="238">
        <f t="shared" ca="1" si="60"/>
        <v>0</v>
      </c>
      <c r="D490" s="155">
        <f t="shared" ca="1" si="61"/>
        <v>482</v>
      </c>
      <c r="E490" s="209">
        <f t="shared" ca="1" si="56"/>
        <v>2</v>
      </c>
      <c r="F490" s="10">
        <f t="shared" ca="1" si="62"/>
        <v>60951</v>
      </c>
      <c r="G490" s="156">
        <f t="shared" ca="1" si="63"/>
        <v>1209990.6738072641</v>
      </c>
      <c r="H490" s="156">
        <f ca="1">SUM($G$8:G490)*gamma</f>
        <v>5303220.6927753417</v>
      </c>
      <c r="I490" s="23">
        <f ca="1">MAX(0,ROUND($I$7-$H$7-H490-SUM($G$8:G490),0))</f>
        <v>0</v>
      </c>
      <c r="J490" s="208">
        <f t="shared" ca="1" si="57"/>
        <v>482</v>
      </c>
    </row>
    <row r="491" spans="1:10" ht="15.75" customHeight="1" thickBot="1">
      <c r="A491" s="237">
        <f t="shared" ca="1" si="58"/>
        <v>60981</v>
      </c>
      <c r="B491" s="238">
        <f t="shared" ca="1" si="59"/>
        <v>1209991</v>
      </c>
      <c r="C491" s="238">
        <f t="shared" ca="1" si="60"/>
        <v>0</v>
      </c>
      <c r="D491" s="155">
        <f t="shared" ca="1" si="61"/>
        <v>483</v>
      </c>
      <c r="E491" s="209">
        <f t="shared" ca="1" si="56"/>
        <v>3</v>
      </c>
      <c r="F491" s="10">
        <f t="shared" ca="1" si="62"/>
        <v>60981</v>
      </c>
      <c r="G491" s="156">
        <f t="shared" ca="1" si="63"/>
        <v>1209990.6738072641</v>
      </c>
      <c r="H491" s="156">
        <f ca="1">SUM($G$8:G491)*gamma</f>
        <v>5339520.4129895596</v>
      </c>
      <c r="I491" s="23">
        <f ca="1">MAX(0,ROUND($I$7-$H$7-H491-SUM($G$8:G491),0))</f>
        <v>0</v>
      </c>
      <c r="J491" s="208">
        <f t="shared" ca="1" si="57"/>
        <v>483</v>
      </c>
    </row>
    <row r="492" spans="1:10" ht="15.75" customHeight="1" thickBot="1">
      <c r="A492" s="237">
        <f t="shared" ca="1" si="58"/>
        <v>61012</v>
      </c>
      <c r="B492" s="238">
        <f t="shared" ca="1" si="59"/>
        <v>1209991</v>
      </c>
      <c r="C492" s="238">
        <f t="shared" ca="1" si="60"/>
        <v>0</v>
      </c>
      <c r="D492" s="155">
        <f t="shared" ca="1" si="61"/>
        <v>484</v>
      </c>
      <c r="E492" s="209">
        <f t="shared" ca="1" si="56"/>
        <v>4</v>
      </c>
      <c r="F492" s="10">
        <f t="shared" ca="1" si="62"/>
        <v>61012</v>
      </c>
      <c r="G492" s="156">
        <f t="shared" ca="1" si="63"/>
        <v>1209990.6738072641</v>
      </c>
      <c r="H492" s="156">
        <f ca="1">SUM($G$8:G492)*gamma</f>
        <v>5375820.1332037775</v>
      </c>
      <c r="I492" s="23">
        <f ca="1">MAX(0,ROUND($I$7-$H$7-H492-SUM($G$8:G492),0))</f>
        <v>0</v>
      </c>
      <c r="J492" s="208">
        <f t="shared" ca="1" si="57"/>
        <v>484</v>
      </c>
    </row>
    <row r="493" spans="1:10" ht="15.75" customHeight="1" thickBot="1">
      <c r="A493" s="237">
        <f t="shared" ca="1" si="58"/>
        <v>61043</v>
      </c>
      <c r="B493" s="238">
        <f t="shared" ca="1" si="59"/>
        <v>1209991</v>
      </c>
      <c r="C493" s="238">
        <f t="shared" ca="1" si="60"/>
        <v>0</v>
      </c>
      <c r="D493" s="155">
        <f t="shared" ca="1" si="61"/>
        <v>485</v>
      </c>
      <c r="E493" s="209">
        <f t="shared" ca="1" si="56"/>
        <v>5</v>
      </c>
      <c r="F493" s="10">
        <f t="shared" ca="1" si="62"/>
        <v>61043</v>
      </c>
      <c r="G493" s="156">
        <f t="shared" ca="1" si="63"/>
        <v>1209990.6738072641</v>
      </c>
      <c r="H493" s="156">
        <f ca="1">SUM($G$8:G493)*gamma</f>
        <v>5412119.8534179954</v>
      </c>
      <c r="I493" s="23">
        <f ca="1">MAX(0,ROUND($I$7-$H$7-H493-SUM($G$8:G493),0))</f>
        <v>0</v>
      </c>
      <c r="J493" s="208">
        <f t="shared" ca="1" si="57"/>
        <v>485</v>
      </c>
    </row>
    <row r="494" spans="1:10" ht="15.75" customHeight="1" thickBot="1">
      <c r="A494" s="237">
        <f t="shared" ca="1" si="58"/>
        <v>61071</v>
      </c>
      <c r="B494" s="238">
        <f t="shared" ca="1" si="59"/>
        <v>1209991</v>
      </c>
      <c r="C494" s="238">
        <f t="shared" ca="1" si="60"/>
        <v>0</v>
      </c>
      <c r="D494" s="155">
        <f t="shared" ca="1" si="61"/>
        <v>486</v>
      </c>
      <c r="E494" s="209">
        <f t="shared" ca="1" si="56"/>
        <v>6</v>
      </c>
      <c r="F494" s="10">
        <f t="shared" ca="1" si="62"/>
        <v>61071</v>
      </c>
      <c r="G494" s="156">
        <f t="shared" ca="1" si="63"/>
        <v>1209990.6738072641</v>
      </c>
      <c r="H494" s="156">
        <f ca="1">SUM($G$8:G494)*gamma</f>
        <v>5448419.5736322133</v>
      </c>
      <c r="I494" s="23">
        <f ca="1">MAX(0,ROUND($I$7-$H$7-H494-SUM($G$8:G494),0))</f>
        <v>0</v>
      </c>
      <c r="J494" s="208">
        <f t="shared" ca="1" si="57"/>
        <v>486</v>
      </c>
    </row>
    <row r="495" spans="1:10" ht="15.75" customHeight="1" thickBot="1">
      <c r="A495" s="237">
        <f t="shared" ca="1" si="58"/>
        <v>61102</v>
      </c>
      <c r="B495" s="238">
        <f t="shared" ca="1" si="59"/>
        <v>1209991</v>
      </c>
      <c r="C495" s="238">
        <f t="shared" ca="1" si="60"/>
        <v>0</v>
      </c>
      <c r="D495" s="155">
        <f t="shared" ca="1" si="61"/>
        <v>487</v>
      </c>
      <c r="E495" s="209">
        <f t="shared" ca="1" si="56"/>
        <v>7</v>
      </c>
      <c r="F495" s="10">
        <f t="shared" ca="1" si="62"/>
        <v>61102</v>
      </c>
      <c r="G495" s="156">
        <f t="shared" ca="1" si="63"/>
        <v>1209990.6738072641</v>
      </c>
      <c r="H495" s="156">
        <f ca="1">SUM($G$8:G495)*gamma</f>
        <v>5484719.2938464312</v>
      </c>
      <c r="I495" s="23">
        <f ca="1">MAX(0,ROUND($I$7-$H$7-H495-SUM($G$8:G495),0))</f>
        <v>0</v>
      </c>
      <c r="J495" s="208">
        <f t="shared" ca="1" si="57"/>
        <v>487</v>
      </c>
    </row>
    <row r="496" spans="1:10" ht="15.75" customHeight="1" thickBot="1">
      <c r="A496" s="237">
        <f t="shared" ca="1" si="58"/>
        <v>61132</v>
      </c>
      <c r="B496" s="238">
        <f t="shared" ca="1" si="59"/>
        <v>1209991</v>
      </c>
      <c r="C496" s="238">
        <f t="shared" ca="1" si="60"/>
        <v>0</v>
      </c>
      <c r="D496" s="155">
        <f t="shared" ca="1" si="61"/>
        <v>488</v>
      </c>
      <c r="E496" s="209">
        <f t="shared" ca="1" si="56"/>
        <v>8</v>
      </c>
      <c r="F496" s="10">
        <f t="shared" ca="1" si="62"/>
        <v>61132</v>
      </c>
      <c r="G496" s="156">
        <f t="shared" ca="1" si="63"/>
        <v>1209990.6738072641</v>
      </c>
      <c r="H496" s="156">
        <f ca="1">SUM($G$8:G496)*gamma</f>
        <v>5521019.0140606491</v>
      </c>
      <c r="I496" s="23">
        <f ca="1">MAX(0,ROUND($I$7-$H$7-H496-SUM($G$8:G496),0))</f>
        <v>0</v>
      </c>
      <c r="J496" s="208">
        <f t="shared" ca="1" si="57"/>
        <v>488</v>
      </c>
    </row>
    <row r="497" spans="1:10" ht="15.75" customHeight="1" thickBot="1">
      <c r="A497" s="237">
        <f t="shared" ca="1" si="58"/>
        <v>61163</v>
      </c>
      <c r="B497" s="238">
        <f t="shared" ca="1" si="59"/>
        <v>1209991</v>
      </c>
      <c r="C497" s="238">
        <f t="shared" ca="1" si="60"/>
        <v>0</v>
      </c>
      <c r="D497" s="155">
        <f t="shared" ca="1" si="61"/>
        <v>489</v>
      </c>
      <c r="E497" s="209">
        <f t="shared" ca="1" si="56"/>
        <v>9</v>
      </c>
      <c r="F497" s="10">
        <f t="shared" ca="1" si="62"/>
        <v>61163</v>
      </c>
      <c r="G497" s="156">
        <f t="shared" ca="1" si="63"/>
        <v>1209990.6738072641</v>
      </c>
      <c r="H497" s="156">
        <f ca="1">SUM($G$8:G497)*gamma</f>
        <v>5557318.734274867</v>
      </c>
      <c r="I497" s="23">
        <f ca="1">MAX(0,ROUND($I$7-$H$7-H497-SUM($G$8:G497),0))</f>
        <v>0</v>
      </c>
      <c r="J497" s="208">
        <f t="shared" ca="1" si="57"/>
        <v>489</v>
      </c>
    </row>
    <row r="498" spans="1:10" ht="15.75" customHeight="1" thickBot="1">
      <c r="A498" s="237">
        <f t="shared" ca="1" si="58"/>
        <v>61193</v>
      </c>
      <c r="B498" s="238">
        <f t="shared" ca="1" si="59"/>
        <v>1209991</v>
      </c>
      <c r="C498" s="238">
        <f t="shared" ca="1" si="60"/>
        <v>0</v>
      </c>
      <c r="D498" s="155">
        <f t="shared" ca="1" si="61"/>
        <v>490</v>
      </c>
      <c r="E498" s="209">
        <f t="shared" ca="1" si="56"/>
        <v>10</v>
      </c>
      <c r="F498" s="10">
        <f t="shared" ca="1" si="62"/>
        <v>61193</v>
      </c>
      <c r="G498" s="156">
        <f t="shared" ca="1" si="63"/>
        <v>1209990.6738072641</v>
      </c>
      <c r="H498" s="156">
        <f ca="1">SUM($G$8:G498)*gamma</f>
        <v>5593618.4544890849</v>
      </c>
      <c r="I498" s="23">
        <f ca="1">MAX(0,ROUND($I$7-$H$7-H498-SUM($G$8:G498),0))</f>
        <v>0</v>
      </c>
      <c r="J498" s="208">
        <f t="shared" ca="1" si="57"/>
        <v>490</v>
      </c>
    </row>
    <row r="499" spans="1:10" ht="15.75" customHeight="1" thickBot="1">
      <c r="A499" s="237">
        <f t="shared" ca="1" si="58"/>
        <v>61224</v>
      </c>
      <c r="B499" s="238">
        <f t="shared" ca="1" si="59"/>
        <v>1209991</v>
      </c>
      <c r="C499" s="238">
        <f t="shared" ca="1" si="60"/>
        <v>0</v>
      </c>
      <c r="D499" s="155">
        <f t="shared" ca="1" si="61"/>
        <v>491</v>
      </c>
      <c r="E499" s="209">
        <f t="shared" ca="1" si="56"/>
        <v>11</v>
      </c>
      <c r="F499" s="10">
        <f t="shared" ca="1" si="62"/>
        <v>61224</v>
      </c>
      <c r="G499" s="156">
        <f t="shared" ca="1" si="63"/>
        <v>1209990.6738072641</v>
      </c>
      <c r="H499" s="156">
        <f ca="1">SUM($G$8:G499)*gamma</f>
        <v>5629918.1747033028</v>
      </c>
      <c r="I499" s="23">
        <f ca="1">MAX(0,ROUND($I$7-$H$7-H499-SUM($G$8:G499),0))</f>
        <v>0</v>
      </c>
      <c r="J499" s="208">
        <f t="shared" ca="1" si="57"/>
        <v>491</v>
      </c>
    </row>
    <row r="500" spans="1:10" ht="15.75" customHeight="1" thickBot="1">
      <c r="A500" s="237">
        <f t="shared" ca="1" si="58"/>
        <v>61255</v>
      </c>
      <c r="B500" s="238">
        <f t="shared" ca="1" si="59"/>
        <v>1306790</v>
      </c>
      <c r="C500" s="238">
        <f t="shared" ca="1" si="60"/>
        <v>0</v>
      </c>
      <c r="D500" s="155">
        <f t="shared" ca="1" si="61"/>
        <v>492</v>
      </c>
      <c r="E500" s="209">
        <f t="shared" ca="1" si="56"/>
        <v>0</v>
      </c>
      <c r="F500" s="10">
        <f t="shared" ca="1" si="62"/>
        <v>61255</v>
      </c>
      <c r="G500" s="156">
        <f t="shared" ca="1" si="63"/>
        <v>1306789.9277118454</v>
      </c>
      <c r="H500" s="156">
        <f ca="1">SUM($G$8:G500)*gamma</f>
        <v>5669121.8725346578</v>
      </c>
      <c r="I500" s="23">
        <f ca="1">MAX(0,ROUND($I$7-$H$7-H500-SUM($G$8:G500),0))</f>
        <v>0</v>
      </c>
      <c r="J500" s="208">
        <f t="shared" ca="1" si="57"/>
        <v>492</v>
      </c>
    </row>
    <row r="501" spans="1:10" ht="15.75" customHeight="1" thickBot="1">
      <c r="A501" s="237">
        <f t="shared" ca="1" si="58"/>
        <v>61285</v>
      </c>
      <c r="B501" s="238">
        <f t="shared" ca="1" si="59"/>
        <v>1306790</v>
      </c>
      <c r="C501" s="238">
        <f t="shared" ca="1" si="60"/>
        <v>0</v>
      </c>
      <c r="D501" s="155">
        <f t="shared" ca="1" si="61"/>
        <v>493</v>
      </c>
      <c r="E501" s="209">
        <f t="shared" ca="1" si="56"/>
        <v>1</v>
      </c>
      <c r="F501" s="10">
        <f t="shared" ca="1" si="62"/>
        <v>61285</v>
      </c>
      <c r="G501" s="156">
        <f t="shared" ca="1" si="63"/>
        <v>1306789.9277118454</v>
      </c>
      <c r="H501" s="156">
        <f ca="1">SUM($G$8:G501)*gamma</f>
        <v>5708325.5703660129</v>
      </c>
      <c r="I501" s="23">
        <f ca="1">MAX(0,ROUND($I$7-$H$7-H501-SUM($G$8:G501),0))</f>
        <v>0</v>
      </c>
      <c r="J501" s="208">
        <f t="shared" ca="1" si="57"/>
        <v>493</v>
      </c>
    </row>
    <row r="502" spans="1:10" ht="15.75" customHeight="1" thickBot="1">
      <c r="A502" s="237">
        <f t="shared" ca="1" si="58"/>
        <v>61316</v>
      </c>
      <c r="B502" s="238">
        <f t="shared" ca="1" si="59"/>
        <v>1306790</v>
      </c>
      <c r="C502" s="238">
        <f t="shared" ca="1" si="60"/>
        <v>0</v>
      </c>
      <c r="D502" s="155">
        <f t="shared" ca="1" si="61"/>
        <v>494</v>
      </c>
      <c r="E502" s="209">
        <f t="shared" ca="1" si="56"/>
        <v>2</v>
      </c>
      <c r="F502" s="10">
        <f t="shared" ca="1" si="62"/>
        <v>61316</v>
      </c>
      <c r="G502" s="156">
        <f t="shared" ca="1" si="63"/>
        <v>1306789.9277118454</v>
      </c>
      <c r="H502" s="156">
        <f ca="1">SUM($G$8:G502)*gamma</f>
        <v>5747529.2681973688</v>
      </c>
      <c r="I502" s="23">
        <f ca="1">MAX(0,ROUND($I$7-$H$7-H502-SUM($G$8:G502),0))</f>
        <v>0</v>
      </c>
      <c r="J502" s="208">
        <f t="shared" ca="1" si="57"/>
        <v>494</v>
      </c>
    </row>
    <row r="503" spans="1:10" ht="15.75" customHeight="1" thickBot="1">
      <c r="A503" s="237">
        <f t="shared" ca="1" si="58"/>
        <v>61346</v>
      </c>
      <c r="B503" s="238">
        <f t="shared" ca="1" si="59"/>
        <v>1306790</v>
      </c>
      <c r="C503" s="238">
        <f t="shared" ca="1" si="60"/>
        <v>0</v>
      </c>
      <c r="D503" s="155">
        <f t="shared" ca="1" si="61"/>
        <v>495</v>
      </c>
      <c r="E503" s="209">
        <f t="shared" ca="1" si="56"/>
        <v>3</v>
      </c>
      <c r="F503" s="10">
        <f t="shared" ca="1" si="62"/>
        <v>61346</v>
      </c>
      <c r="G503" s="156">
        <f t="shared" ca="1" si="63"/>
        <v>1306789.9277118454</v>
      </c>
      <c r="H503" s="156">
        <f ca="1">SUM($G$8:G503)*gamma</f>
        <v>5786732.9660287239</v>
      </c>
      <c r="I503" s="23">
        <f ca="1">MAX(0,ROUND($I$7-$H$7-H503-SUM($G$8:G503),0))</f>
        <v>0</v>
      </c>
      <c r="J503" s="208">
        <f t="shared" ca="1" si="57"/>
        <v>495</v>
      </c>
    </row>
    <row r="504" spans="1:10" ht="15.75" customHeight="1" thickBot="1">
      <c r="A504" s="237">
        <f t="shared" ca="1" si="58"/>
        <v>61377</v>
      </c>
      <c r="B504" s="238">
        <f t="shared" ca="1" si="59"/>
        <v>1306790</v>
      </c>
      <c r="C504" s="238">
        <f t="shared" ca="1" si="60"/>
        <v>0</v>
      </c>
      <c r="D504" s="155">
        <f t="shared" ca="1" si="61"/>
        <v>496</v>
      </c>
      <c r="E504" s="209">
        <f t="shared" ca="1" si="56"/>
        <v>4</v>
      </c>
      <c r="F504" s="10">
        <f t="shared" ca="1" si="62"/>
        <v>61377</v>
      </c>
      <c r="G504" s="156">
        <f t="shared" ca="1" si="63"/>
        <v>1306789.9277118454</v>
      </c>
      <c r="H504" s="156">
        <f ca="1">SUM($G$8:G504)*gamma</f>
        <v>5825936.6638600789</v>
      </c>
      <c r="I504" s="23">
        <f ca="1">MAX(0,ROUND($I$7-$H$7-H504-SUM($G$8:G504),0))</f>
        <v>0</v>
      </c>
      <c r="J504" s="208">
        <f t="shared" ca="1" si="57"/>
        <v>496</v>
      </c>
    </row>
    <row r="505" spans="1:10" ht="15.75" customHeight="1" thickBot="1">
      <c r="A505" s="237">
        <f t="shared" ca="1" si="58"/>
        <v>61408</v>
      </c>
      <c r="B505" s="238">
        <f t="shared" ca="1" si="59"/>
        <v>1306790</v>
      </c>
      <c r="C505" s="238">
        <f t="shared" ca="1" si="60"/>
        <v>0</v>
      </c>
      <c r="D505" s="155">
        <f t="shared" ca="1" si="61"/>
        <v>497</v>
      </c>
      <c r="E505" s="209">
        <f t="shared" ca="1" si="56"/>
        <v>5</v>
      </c>
      <c r="F505" s="10">
        <f t="shared" ca="1" si="62"/>
        <v>61408</v>
      </c>
      <c r="G505" s="156">
        <f t="shared" ca="1" si="63"/>
        <v>1306789.9277118454</v>
      </c>
      <c r="H505" s="156">
        <f ca="1">SUM($G$8:G505)*gamma</f>
        <v>5865140.3616914349</v>
      </c>
      <c r="I505" s="23">
        <f ca="1">MAX(0,ROUND($I$7-$H$7-H505-SUM($G$8:G505),0))</f>
        <v>0</v>
      </c>
      <c r="J505" s="208">
        <f t="shared" ca="1" si="57"/>
        <v>497</v>
      </c>
    </row>
    <row r="506" spans="1:10" ht="15.75" customHeight="1" thickBot="1">
      <c r="A506" s="237">
        <f t="shared" ca="1" si="58"/>
        <v>61437</v>
      </c>
      <c r="B506" s="238">
        <f t="shared" ca="1" si="59"/>
        <v>1306790</v>
      </c>
      <c r="C506" s="238">
        <f t="shared" ca="1" si="60"/>
        <v>0</v>
      </c>
      <c r="D506" s="155">
        <f t="shared" ca="1" si="61"/>
        <v>498</v>
      </c>
      <c r="E506" s="209">
        <f t="shared" ca="1" si="56"/>
        <v>6</v>
      </c>
      <c r="F506" s="10">
        <f t="shared" ca="1" si="62"/>
        <v>61437</v>
      </c>
      <c r="G506" s="156">
        <f t="shared" ca="1" si="63"/>
        <v>1306789.9277118454</v>
      </c>
      <c r="H506" s="156">
        <f ca="1">SUM($G$8:G506)*gamma</f>
        <v>5904344.0595227899</v>
      </c>
      <c r="I506" s="23">
        <f ca="1">MAX(0,ROUND($I$7-$H$7-H506-SUM($G$8:G506),0))</f>
        <v>0</v>
      </c>
      <c r="J506" s="208">
        <f t="shared" ca="1" si="57"/>
        <v>498</v>
      </c>
    </row>
    <row r="507" spans="1:10" ht="15.75" customHeight="1" thickBot="1">
      <c r="A507" s="237">
        <f t="shared" ca="1" si="58"/>
        <v>61468</v>
      </c>
      <c r="B507" s="238">
        <f t="shared" ca="1" si="59"/>
        <v>1306790</v>
      </c>
      <c r="C507" s="238">
        <f t="shared" ca="1" si="60"/>
        <v>0</v>
      </c>
      <c r="D507" s="155">
        <f t="shared" ca="1" si="61"/>
        <v>499</v>
      </c>
      <c r="E507" s="209">
        <f t="shared" ca="1" si="56"/>
        <v>7</v>
      </c>
      <c r="F507" s="10">
        <f t="shared" ca="1" si="62"/>
        <v>61468</v>
      </c>
      <c r="G507" s="156">
        <f t="shared" ca="1" si="63"/>
        <v>1306789.9277118454</v>
      </c>
      <c r="H507" s="156">
        <f ca="1">SUM($G$8:G507)*gamma</f>
        <v>5943547.7573541449</v>
      </c>
      <c r="I507" s="23">
        <f ca="1">MAX(0,ROUND($I$7-$H$7-H507-SUM($G$8:G507),0))</f>
        <v>0</v>
      </c>
      <c r="J507" s="208">
        <f t="shared" ca="1" si="57"/>
        <v>499</v>
      </c>
    </row>
    <row r="508" spans="1:10" ht="15.75" customHeight="1" thickBot="1">
      <c r="A508" s="237">
        <f t="shared" ca="1" si="58"/>
        <v>61498</v>
      </c>
      <c r="B508" s="238">
        <f t="shared" ca="1" si="59"/>
        <v>1306790</v>
      </c>
      <c r="C508" s="238">
        <f t="shared" ca="1" si="60"/>
        <v>0</v>
      </c>
      <c r="D508" s="155">
        <f t="shared" ca="1" si="61"/>
        <v>500</v>
      </c>
      <c r="E508" s="209">
        <f t="shared" ca="1" si="56"/>
        <v>8</v>
      </c>
      <c r="F508" s="10">
        <f t="shared" ca="1" si="62"/>
        <v>61498</v>
      </c>
      <c r="G508" s="156">
        <f t="shared" ca="1" si="63"/>
        <v>1306789.9277118454</v>
      </c>
      <c r="H508" s="156">
        <f ca="1">SUM($G$8:G508)*gamma</f>
        <v>5982751.4551855009</v>
      </c>
      <c r="I508" s="23">
        <f ca="1">MAX(0,ROUND($I$7-$H$7-H508-SUM($G$8:G508),0))</f>
        <v>0</v>
      </c>
      <c r="J508" s="208">
        <f t="shared" ca="1" si="57"/>
        <v>500</v>
      </c>
    </row>
    <row r="509" spans="1:10" ht="15.75" customHeight="1" thickBot="1">
      <c r="A509" s="237">
        <f t="shared" ca="1" si="58"/>
        <v>61529</v>
      </c>
      <c r="B509" s="238">
        <f t="shared" ca="1" si="59"/>
        <v>1306790</v>
      </c>
      <c r="C509" s="238">
        <f t="shared" ca="1" si="60"/>
        <v>0</v>
      </c>
      <c r="D509" s="155">
        <f t="shared" ca="1" si="61"/>
        <v>501</v>
      </c>
      <c r="E509" s="209">
        <f t="shared" ca="1" si="56"/>
        <v>9</v>
      </c>
      <c r="F509" s="10">
        <f t="shared" ca="1" si="62"/>
        <v>61529</v>
      </c>
      <c r="G509" s="156">
        <f t="shared" ca="1" si="63"/>
        <v>1306789.9277118454</v>
      </c>
      <c r="H509" s="156">
        <f ca="1">SUM($G$8:G509)*gamma</f>
        <v>6021955.1530168559</v>
      </c>
      <c r="I509" s="23">
        <f ca="1">MAX(0,ROUND($I$7-$H$7-H509-SUM($G$8:G509),0))</f>
        <v>0</v>
      </c>
      <c r="J509" s="208">
        <f t="shared" ca="1" si="57"/>
        <v>501</v>
      </c>
    </row>
    <row r="510" spans="1:10" ht="15.75" customHeight="1" thickBot="1">
      <c r="A510" s="237">
        <f t="shared" ca="1" si="58"/>
        <v>61559</v>
      </c>
      <c r="B510" s="238">
        <f t="shared" ca="1" si="59"/>
        <v>1306790</v>
      </c>
      <c r="C510" s="238">
        <f t="shared" ca="1" si="60"/>
        <v>0</v>
      </c>
      <c r="D510" s="155">
        <f t="shared" ca="1" si="61"/>
        <v>502</v>
      </c>
      <c r="E510" s="209">
        <f t="shared" ca="1" si="56"/>
        <v>10</v>
      </c>
      <c r="F510" s="10">
        <f t="shared" ca="1" si="62"/>
        <v>61559</v>
      </c>
      <c r="G510" s="156">
        <f t="shared" ca="1" si="63"/>
        <v>1306789.9277118454</v>
      </c>
      <c r="H510" s="156">
        <f ca="1">SUM($G$8:G510)*gamma</f>
        <v>6061158.850848211</v>
      </c>
      <c r="I510" s="23">
        <f ca="1">MAX(0,ROUND($I$7-$H$7-H510-SUM($G$8:G510),0))</f>
        <v>0</v>
      </c>
      <c r="J510" s="208">
        <f t="shared" ca="1" si="57"/>
        <v>502</v>
      </c>
    </row>
    <row r="511" spans="1:10" ht="15.75" customHeight="1" thickBot="1">
      <c r="A511" s="237">
        <f t="shared" ca="1" si="58"/>
        <v>61590</v>
      </c>
      <c r="B511" s="238">
        <f t="shared" ca="1" si="59"/>
        <v>1306790</v>
      </c>
      <c r="C511" s="238">
        <f t="shared" ca="1" si="60"/>
        <v>0</v>
      </c>
      <c r="D511" s="155">
        <f t="shared" ca="1" si="61"/>
        <v>503</v>
      </c>
      <c r="E511" s="209">
        <f t="shared" ca="1" si="56"/>
        <v>11</v>
      </c>
      <c r="F511" s="10">
        <f t="shared" ca="1" si="62"/>
        <v>61590</v>
      </c>
      <c r="G511" s="156">
        <f t="shared" ca="1" si="63"/>
        <v>1306789.9277118454</v>
      </c>
      <c r="H511" s="156">
        <f ca="1">SUM($G$8:G511)*gamma</f>
        <v>6100362.548679566</v>
      </c>
      <c r="I511" s="23">
        <f ca="1">MAX(0,ROUND($I$7-$H$7-H511-SUM($G$8:G511),0))</f>
        <v>0</v>
      </c>
      <c r="J511" s="208">
        <f t="shared" ca="1" si="57"/>
        <v>503</v>
      </c>
    </row>
    <row r="512" spans="1:10" ht="15.75" customHeight="1" thickBot="1">
      <c r="A512" s="237">
        <f t="shared" ca="1" si="58"/>
        <v>61621</v>
      </c>
      <c r="B512" s="238">
        <f t="shared" ca="1" si="59"/>
        <v>1411333</v>
      </c>
      <c r="C512" s="238">
        <f t="shared" ca="1" si="60"/>
        <v>0</v>
      </c>
      <c r="D512" s="155">
        <f t="shared" ca="1" si="61"/>
        <v>504</v>
      </c>
      <c r="E512" s="209">
        <f t="shared" ca="1" si="56"/>
        <v>0</v>
      </c>
      <c r="F512" s="10">
        <f t="shared" ca="1" si="62"/>
        <v>61621</v>
      </c>
      <c r="G512" s="156">
        <f t="shared" ca="1" si="63"/>
        <v>1411333.1219287931</v>
      </c>
      <c r="H512" s="156">
        <f ca="1">SUM($G$8:G512)*gamma</f>
        <v>6142702.5423374297</v>
      </c>
      <c r="I512" s="23">
        <f ca="1">MAX(0,ROUND($I$7-$H$7-H512-SUM($G$8:G512),0))</f>
        <v>0</v>
      </c>
      <c r="J512" s="208">
        <f t="shared" ca="1" si="57"/>
        <v>504</v>
      </c>
    </row>
    <row r="513" spans="1:10" ht="15.75" customHeight="1" thickBot="1">
      <c r="A513" s="237">
        <f t="shared" ca="1" si="58"/>
        <v>61651</v>
      </c>
      <c r="B513" s="238">
        <f t="shared" ca="1" si="59"/>
        <v>1411333</v>
      </c>
      <c r="C513" s="238">
        <f t="shared" ca="1" si="60"/>
        <v>0</v>
      </c>
      <c r="D513" s="155">
        <f t="shared" ca="1" si="61"/>
        <v>505</v>
      </c>
      <c r="E513" s="209">
        <f t="shared" ca="1" si="56"/>
        <v>1</v>
      </c>
      <c r="F513" s="10">
        <f t="shared" ca="1" si="62"/>
        <v>61651</v>
      </c>
      <c r="G513" s="156">
        <f t="shared" ca="1" si="63"/>
        <v>1411333.1219287931</v>
      </c>
      <c r="H513" s="156">
        <f ca="1">SUM($G$8:G513)*gamma</f>
        <v>6185042.5359952934</v>
      </c>
      <c r="I513" s="23">
        <f ca="1">MAX(0,ROUND($I$7-$H$7-H513-SUM($G$8:G513),0))</f>
        <v>0</v>
      </c>
      <c r="J513" s="208">
        <f t="shared" ca="1" si="57"/>
        <v>505</v>
      </c>
    </row>
    <row r="514" spans="1:10" ht="15.75" customHeight="1" thickBot="1">
      <c r="A514" s="237">
        <f t="shared" ca="1" si="58"/>
        <v>61682</v>
      </c>
      <c r="B514" s="238">
        <f t="shared" ca="1" si="59"/>
        <v>1411333</v>
      </c>
      <c r="C514" s="238">
        <f t="shared" ca="1" si="60"/>
        <v>0</v>
      </c>
      <c r="D514" s="155">
        <f t="shared" ca="1" si="61"/>
        <v>506</v>
      </c>
      <c r="E514" s="209">
        <f t="shared" ca="1" si="56"/>
        <v>2</v>
      </c>
      <c r="F514" s="10">
        <f t="shared" ca="1" si="62"/>
        <v>61682</v>
      </c>
      <c r="G514" s="156">
        <f t="shared" ca="1" si="63"/>
        <v>1411333.1219287931</v>
      </c>
      <c r="H514" s="156">
        <f ca="1">SUM($G$8:G514)*gamma</f>
        <v>6227382.5296531571</v>
      </c>
      <c r="I514" s="23">
        <f ca="1">MAX(0,ROUND($I$7-$H$7-H514-SUM($G$8:G514),0))</f>
        <v>0</v>
      </c>
      <c r="J514" s="208">
        <f t="shared" ca="1" si="57"/>
        <v>506</v>
      </c>
    </row>
    <row r="515" spans="1:10" ht="15.75" customHeight="1" thickBot="1">
      <c r="A515" s="237">
        <f t="shared" ca="1" si="58"/>
        <v>61712</v>
      </c>
      <c r="B515" s="238">
        <f t="shared" ca="1" si="59"/>
        <v>1411333</v>
      </c>
      <c r="C515" s="238">
        <f t="shared" ca="1" si="60"/>
        <v>0</v>
      </c>
      <c r="D515" s="155">
        <f t="shared" ca="1" si="61"/>
        <v>507</v>
      </c>
      <c r="E515" s="209">
        <f t="shared" ca="1" si="56"/>
        <v>3</v>
      </c>
      <c r="F515" s="10">
        <f t="shared" ca="1" si="62"/>
        <v>61712</v>
      </c>
      <c r="G515" s="156">
        <f t="shared" ca="1" si="63"/>
        <v>1411333.1219287931</v>
      </c>
      <c r="H515" s="156">
        <f ca="1">SUM($G$8:G515)*gamma</f>
        <v>6269722.5233110199</v>
      </c>
      <c r="I515" s="23">
        <f ca="1">MAX(0,ROUND($I$7-$H$7-H515-SUM($G$8:G515),0))</f>
        <v>0</v>
      </c>
      <c r="J515" s="208">
        <f t="shared" ca="1" si="57"/>
        <v>507</v>
      </c>
    </row>
    <row r="516" spans="1:10" ht="15.75" customHeight="1" thickBot="1">
      <c r="A516" s="237">
        <f t="shared" ca="1" si="58"/>
        <v>61743</v>
      </c>
      <c r="B516" s="238">
        <f t="shared" ca="1" si="59"/>
        <v>1411333</v>
      </c>
      <c r="C516" s="238">
        <f t="shared" ca="1" si="60"/>
        <v>0</v>
      </c>
      <c r="D516" s="155">
        <f t="shared" ca="1" si="61"/>
        <v>508</v>
      </c>
      <c r="E516" s="209">
        <f t="shared" ca="1" si="56"/>
        <v>4</v>
      </c>
      <c r="F516" s="10">
        <f t="shared" ca="1" si="62"/>
        <v>61743</v>
      </c>
      <c r="G516" s="156">
        <f t="shared" ca="1" si="63"/>
        <v>1411333.1219287931</v>
      </c>
      <c r="H516" s="156">
        <f ca="1">SUM($G$8:G516)*gamma</f>
        <v>6312062.5169688836</v>
      </c>
      <c r="I516" s="23">
        <f ca="1">MAX(0,ROUND($I$7-$H$7-H516-SUM($G$8:G516),0))</f>
        <v>0</v>
      </c>
      <c r="J516" s="208">
        <f t="shared" ca="1" si="57"/>
        <v>508</v>
      </c>
    </row>
    <row r="517" spans="1:10" ht="15.75" customHeight="1" thickBot="1">
      <c r="A517" s="237">
        <f t="shared" ca="1" si="58"/>
        <v>61774</v>
      </c>
      <c r="B517" s="238">
        <f t="shared" ca="1" si="59"/>
        <v>1411333</v>
      </c>
      <c r="C517" s="238">
        <f t="shared" ca="1" si="60"/>
        <v>0</v>
      </c>
      <c r="D517" s="155">
        <f t="shared" ca="1" si="61"/>
        <v>509</v>
      </c>
      <c r="E517" s="209">
        <f t="shared" ca="1" si="56"/>
        <v>5</v>
      </c>
      <c r="F517" s="10">
        <f t="shared" ca="1" si="62"/>
        <v>61774</v>
      </c>
      <c r="G517" s="156">
        <f t="shared" ca="1" si="63"/>
        <v>1411333.1219287931</v>
      </c>
      <c r="H517" s="156">
        <f ca="1">SUM($G$8:G517)*gamma</f>
        <v>6354402.5106267473</v>
      </c>
      <c r="I517" s="23">
        <f ca="1">MAX(0,ROUND($I$7-$H$7-H517-SUM($G$8:G517),0))</f>
        <v>0</v>
      </c>
      <c r="J517" s="208">
        <f t="shared" ca="1" si="57"/>
        <v>509</v>
      </c>
    </row>
    <row r="518" spans="1:10" ht="15.75" customHeight="1" thickBot="1">
      <c r="A518" s="237">
        <f t="shared" ca="1" si="58"/>
        <v>61802</v>
      </c>
      <c r="B518" s="238">
        <f t="shared" ca="1" si="59"/>
        <v>1411333</v>
      </c>
      <c r="C518" s="238">
        <f t="shared" ca="1" si="60"/>
        <v>0</v>
      </c>
      <c r="D518" s="155">
        <f t="shared" ca="1" si="61"/>
        <v>510</v>
      </c>
      <c r="E518" s="209">
        <f t="shared" ca="1" si="56"/>
        <v>6</v>
      </c>
      <c r="F518" s="10">
        <f t="shared" ca="1" si="62"/>
        <v>61802</v>
      </c>
      <c r="G518" s="156">
        <f t="shared" ca="1" si="63"/>
        <v>1411333.1219287931</v>
      </c>
      <c r="H518" s="156">
        <f ca="1">SUM($G$8:G518)*gamma</f>
        <v>6396742.504284611</v>
      </c>
      <c r="I518" s="23">
        <f ca="1">MAX(0,ROUND($I$7-$H$7-H518-SUM($G$8:G518),0))</f>
        <v>0</v>
      </c>
      <c r="J518" s="208">
        <f t="shared" ca="1" si="57"/>
        <v>510</v>
      </c>
    </row>
    <row r="519" spans="1:10" ht="15.75" customHeight="1" thickBot="1">
      <c r="A519" s="237">
        <f t="shared" ca="1" si="58"/>
        <v>61833</v>
      </c>
      <c r="B519" s="238">
        <f t="shared" ca="1" si="59"/>
        <v>1411333</v>
      </c>
      <c r="C519" s="238">
        <f t="shared" ca="1" si="60"/>
        <v>0</v>
      </c>
      <c r="D519" s="155">
        <f t="shared" ca="1" si="61"/>
        <v>511</v>
      </c>
      <c r="E519" s="209">
        <f t="shared" ca="1" si="56"/>
        <v>7</v>
      </c>
      <c r="F519" s="10">
        <f t="shared" ca="1" si="62"/>
        <v>61833</v>
      </c>
      <c r="G519" s="156">
        <f t="shared" ca="1" si="63"/>
        <v>1411333.1219287931</v>
      </c>
      <c r="H519" s="156">
        <f ca="1">SUM($G$8:G519)*gamma</f>
        <v>6439082.4979424737</v>
      </c>
      <c r="I519" s="23">
        <f ca="1">MAX(0,ROUND($I$7-$H$7-H519-SUM($G$8:G519),0))</f>
        <v>0</v>
      </c>
      <c r="J519" s="208">
        <f t="shared" ca="1" si="57"/>
        <v>511</v>
      </c>
    </row>
    <row r="520" spans="1:10" ht="15.75" customHeight="1" thickBot="1">
      <c r="A520" s="237">
        <f t="shared" ca="1" si="58"/>
        <v>61863</v>
      </c>
      <c r="B520" s="238">
        <f t="shared" ca="1" si="59"/>
        <v>1411333</v>
      </c>
      <c r="C520" s="238">
        <f t="shared" ca="1" si="60"/>
        <v>0</v>
      </c>
      <c r="D520" s="155">
        <f t="shared" ca="1" si="61"/>
        <v>512</v>
      </c>
      <c r="E520" s="209">
        <f t="shared" ref="E520:E583" ca="1" si="64">MOD(J520,12)</f>
        <v>8</v>
      </c>
      <c r="F520" s="10">
        <f t="shared" ca="1" si="62"/>
        <v>61863</v>
      </c>
      <c r="G520" s="156">
        <f t="shared" ca="1" si="63"/>
        <v>1411333.1219287931</v>
      </c>
      <c r="H520" s="156">
        <f ca="1">SUM($G$8:G520)*gamma</f>
        <v>6481422.4916003374</v>
      </c>
      <c r="I520" s="23">
        <f ca="1">MAX(0,ROUND($I$7-$H$7-H520-SUM($G$8:G520),0))</f>
        <v>0</v>
      </c>
      <c r="J520" s="208">
        <f t="shared" ref="J520:J583" ca="1" si="65">IF(G519&gt;0,1+J519,0)</f>
        <v>512</v>
      </c>
    </row>
    <row r="521" spans="1:10" ht="15.75" customHeight="1" thickBot="1">
      <c r="A521" s="237">
        <f t="shared" ref="A521:A584" ca="1" si="66">IF(d_plast&gt;=F521,F521,"")</f>
        <v>61894</v>
      </c>
      <c r="B521" s="238">
        <f t="shared" ref="B521:B584" ca="1" si="67">IF(A521="","",ROUND(G521,0))</f>
        <v>1411333</v>
      </c>
      <c r="C521" s="238">
        <f t="shared" ref="C521:C584" ca="1" si="68">IF(A521&lt;&gt;"",IF(end=2,IF(D521&lt;24,0,I521),I521),"")</f>
        <v>0</v>
      </c>
      <c r="D521" s="155">
        <f t="shared" ref="D521:D584" ca="1" si="69">D520+freq_2</f>
        <v>513</v>
      </c>
      <c r="E521" s="209">
        <f t="shared" ca="1" si="64"/>
        <v>9</v>
      </c>
      <c r="F521" s="10">
        <f t="shared" ref="F521:F584" ca="1" si="70">EDATE($F$8,D521)</f>
        <v>61894</v>
      </c>
      <c r="G521" s="156">
        <f t="shared" ref="G521:G584" ca="1" si="71">IF(A521&lt;d_begin,0,IF(G520=0,Ben,IF(E521=0,G520*(1+index),G520)))</f>
        <v>1411333.1219287931</v>
      </c>
      <c r="H521" s="156">
        <f ca="1">SUM($G$8:G521)*gamma</f>
        <v>6523762.4852582011</v>
      </c>
      <c r="I521" s="23">
        <f ca="1">MAX(0,ROUND($I$7-$H$7-H521-SUM($G$8:G521),0))</f>
        <v>0</v>
      </c>
      <c r="J521" s="208">
        <f t="shared" ca="1" si="65"/>
        <v>513</v>
      </c>
    </row>
    <row r="522" spans="1:10" ht="15.75" customHeight="1" thickBot="1">
      <c r="A522" s="237">
        <f t="shared" ca="1" si="66"/>
        <v>61924</v>
      </c>
      <c r="B522" s="238">
        <f t="shared" ca="1" si="67"/>
        <v>1411333</v>
      </c>
      <c r="C522" s="238">
        <f t="shared" ca="1" si="68"/>
        <v>0</v>
      </c>
      <c r="D522" s="155">
        <f t="shared" ca="1" si="69"/>
        <v>514</v>
      </c>
      <c r="E522" s="209">
        <f t="shared" ca="1" si="64"/>
        <v>10</v>
      </c>
      <c r="F522" s="10">
        <f t="shared" ca="1" si="70"/>
        <v>61924</v>
      </c>
      <c r="G522" s="156">
        <f t="shared" ca="1" si="71"/>
        <v>1411333.1219287931</v>
      </c>
      <c r="H522" s="156">
        <f ca="1">SUM($G$8:G522)*gamma</f>
        <v>6566102.4789160639</v>
      </c>
      <c r="I522" s="23">
        <f ca="1">MAX(0,ROUND($I$7-$H$7-H522-SUM($G$8:G522),0))</f>
        <v>0</v>
      </c>
      <c r="J522" s="208">
        <f t="shared" ca="1" si="65"/>
        <v>514</v>
      </c>
    </row>
    <row r="523" spans="1:10" ht="15.75" customHeight="1" thickBot="1">
      <c r="A523" s="237">
        <f t="shared" ca="1" si="66"/>
        <v>61955</v>
      </c>
      <c r="B523" s="238">
        <f t="shared" ca="1" si="67"/>
        <v>1411333</v>
      </c>
      <c r="C523" s="238">
        <f t="shared" ca="1" si="68"/>
        <v>0</v>
      </c>
      <c r="D523" s="155">
        <f t="shared" ca="1" si="69"/>
        <v>515</v>
      </c>
      <c r="E523" s="209">
        <f t="shared" ca="1" si="64"/>
        <v>11</v>
      </c>
      <c r="F523" s="10">
        <f t="shared" ca="1" si="70"/>
        <v>61955</v>
      </c>
      <c r="G523" s="156">
        <f t="shared" ca="1" si="71"/>
        <v>1411333.1219287931</v>
      </c>
      <c r="H523" s="156">
        <f ca="1">SUM($G$8:G523)*gamma</f>
        <v>6608442.4725739276</v>
      </c>
      <c r="I523" s="23">
        <f ca="1">MAX(0,ROUND($I$7-$H$7-H523-SUM($G$8:G523),0))</f>
        <v>0</v>
      </c>
      <c r="J523" s="208">
        <f t="shared" ca="1" si="65"/>
        <v>515</v>
      </c>
    </row>
    <row r="524" spans="1:10" ht="15.75" customHeight="1" thickBot="1">
      <c r="A524" s="237">
        <f t="shared" ca="1" si="66"/>
        <v>61986</v>
      </c>
      <c r="B524" s="238">
        <f t="shared" ca="1" si="67"/>
        <v>1524240</v>
      </c>
      <c r="C524" s="238">
        <f t="shared" ca="1" si="68"/>
        <v>0</v>
      </c>
      <c r="D524" s="155">
        <f t="shared" ca="1" si="69"/>
        <v>516</v>
      </c>
      <c r="E524" s="209">
        <f t="shared" ca="1" si="64"/>
        <v>0</v>
      </c>
      <c r="F524" s="10">
        <f t="shared" ca="1" si="70"/>
        <v>61986</v>
      </c>
      <c r="G524" s="156">
        <f t="shared" ca="1" si="71"/>
        <v>1524239.7716830967</v>
      </c>
      <c r="H524" s="156">
        <f ca="1">SUM($G$8:G524)*gamma</f>
        <v>6654169.6657244209</v>
      </c>
      <c r="I524" s="23">
        <f ca="1">MAX(0,ROUND($I$7-$H$7-H524-SUM($G$8:G524),0))</f>
        <v>0</v>
      </c>
      <c r="J524" s="208">
        <f t="shared" ca="1" si="65"/>
        <v>516</v>
      </c>
    </row>
    <row r="525" spans="1:10" ht="15.75" customHeight="1" thickBot="1">
      <c r="A525" s="237">
        <f t="shared" ca="1" si="66"/>
        <v>62016</v>
      </c>
      <c r="B525" s="238">
        <f t="shared" ca="1" si="67"/>
        <v>1524240</v>
      </c>
      <c r="C525" s="238">
        <f t="shared" ca="1" si="68"/>
        <v>0</v>
      </c>
      <c r="D525" s="155">
        <f t="shared" ca="1" si="69"/>
        <v>517</v>
      </c>
      <c r="E525" s="209">
        <f t="shared" ca="1" si="64"/>
        <v>1</v>
      </c>
      <c r="F525" s="10">
        <f t="shared" ca="1" si="70"/>
        <v>62016</v>
      </c>
      <c r="G525" s="156">
        <f t="shared" ca="1" si="71"/>
        <v>1524239.7716830967</v>
      </c>
      <c r="H525" s="156">
        <f ca="1">SUM($G$8:G525)*gamma</f>
        <v>6699896.8588749133</v>
      </c>
      <c r="I525" s="23">
        <f ca="1">MAX(0,ROUND($I$7-$H$7-H525-SUM($G$8:G525),0))</f>
        <v>0</v>
      </c>
      <c r="J525" s="208">
        <f t="shared" ca="1" si="65"/>
        <v>517</v>
      </c>
    </row>
    <row r="526" spans="1:10" ht="15.75" customHeight="1" thickBot="1">
      <c r="A526" s="237">
        <f t="shared" ca="1" si="66"/>
        <v>62047</v>
      </c>
      <c r="B526" s="238">
        <f t="shared" ca="1" si="67"/>
        <v>1524240</v>
      </c>
      <c r="C526" s="238">
        <f t="shared" ca="1" si="68"/>
        <v>0</v>
      </c>
      <c r="D526" s="155">
        <f t="shared" ca="1" si="69"/>
        <v>518</v>
      </c>
      <c r="E526" s="209">
        <f t="shared" ca="1" si="64"/>
        <v>2</v>
      </c>
      <c r="F526" s="10">
        <f t="shared" ca="1" si="70"/>
        <v>62047</v>
      </c>
      <c r="G526" s="156">
        <f t="shared" ca="1" si="71"/>
        <v>1524239.7716830967</v>
      </c>
      <c r="H526" s="156">
        <f ca="1">SUM($G$8:G526)*gamma</f>
        <v>6745624.0520254066</v>
      </c>
      <c r="I526" s="23">
        <f ca="1">MAX(0,ROUND($I$7-$H$7-H526-SUM($G$8:G526),0))</f>
        <v>0</v>
      </c>
      <c r="J526" s="208">
        <f t="shared" ca="1" si="65"/>
        <v>518</v>
      </c>
    </row>
    <row r="527" spans="1:10" ht="15.75" customHeight="1" thickBot="1">
      <c r="A527" s="237">
        <f t="shared" ca="1" si="66"/>
        <v>62077</v>
      </c>
      <c r="B527" s="238">
        <f t="shared" ca="1" si="67"/>
        <v>1524240</v>
      </c>
      <c r="C527" s="238">
        <f t="shared" ca="1" si="68"/>
        <v>0</v>
      </c>
      <c r="D527" s="155">
        <f t="shared" ca="1" si="69"/>
        <v>519</v>
      </c>
      <c r="E527" s="209">
        <f t="shared" ca="1" si="64"/>
        <v>3</v>
      </c>
      <c r="F527" s="10">
        <f t="shared" ca="1" si="70"/>
        <v>62077</v>
      </c>
      <c r="G527" s="156">
        <f t="shared" ca="1" si="71"/>
        <v>1524239.7716830967</v>
      </c>
      <c r="H527" s="156">
        <f ca="1">SUM($G$8:G527)*gamma</f>
        <v>6791351.245175899</v>
      </c>
      <c r="I527" s="23">
        <f ca="1">MAX(0,ROUND($I$7-$H$7-H527-SUM($G$8:G527),0))</f>
        <v>0</v>
      </c>
      <c r="J527" s="208">
        <f t="shared" ca="1" si="65"/>
        <v>519</v>
      </c>
    </row>
    <row r="528" spans="1:10" ht="15.75" customHeight="1" thickBot="1">
      <c r="A528" s="237">
        <f t="shared" ca="1" si="66"/>
        <v>62108</v>
      </c>
      <c r="B528" s="238">
        <f t="shared" ca="1" si="67"/>
        <v>1524240</v>
      </c>
      <c r="C528" s="238">
        <f t="shared" ca="1" si="68"/>
        <v>0</v>
      </c>
      <c r="D528" s="155">
        <f t="shared" ca="1" si="69"/>
        <v>520</v>
      </c>
      <c r="E528" s="209">
        <f t="shared" ca="1" si="64"/>
        <v>4</v>
      </c>
      <c r="F528" s="10">
        <f t="shared" ca="1" si="70"/>
        <v>62108</v>
      </c>
      <c r="G528" s="156">
        <f t="shared" ca="1" si="71"/>
        <v>1524239.7716830967</v>
      </c>
      <c r="H528" s="156">
        <f ca="1">SUM($G$8:G528)*gamma</f>
        <v>6837078.4383263923</v>
      </c>
      <c r="I528" s="23">
        <f ca="1">MAX(0,ROUND($I$7-$H$7-H528-SUM($G$8:G528),0))</f>
        <v>0</v>
      </c>
      <c r="J528" s="208">
        <f t="shared" ca="1" si="65"/>
        <v>520</v>
      </c>
    </row>
    <row r="529" spans="1:10" ht="15.75" customHeight="1" thickBot="1">
      <c r="A529" s="237">
        <f t="shared" ca="1" si="66"/>
        <v>62139</v>
      </c>
      <c r="B529" s="238">
        <f t="shared" ca="1" si="67"/>
        <v>1524240</v>
      </c>
      <c r="C529" s="238">
        <f t="shared" ca="1" si="68"/>
        <v>0</v>
      </c>
      <c r="D529" s="155">
        <f t="shared" ca="1" si="69"/>
        <v>521</v>
      </c>
      <c r="E529" s="209">
        <f t="shared" ca="1" si="64"/>
        <v>5</v>
      </c>
      <c r="F529" s="10">
        <f t="shared" ca="1" si="70"/>
        <v>62139</v>
      </c>
      <c r="G529" s="156">
        <f t="shared" ca="1" si="71"/>
        <v>1524239.7716830967</v>
      </c>
      <c r="H529" s="156">
        <f ca="1">SUM($G$8:G529)*gamma</f>
        <v>6882805.6314768847</v>
      </c>
      <c r="I529" s="23">
        <f ca="1">MAX(0,ROUND($I$7-$H$7-H529-SUM($G$8:G529),0))</f>
        <v>0</v>
      </c>
      <c r="J529" s="208">
        <f t="shared" ca="1" si="65"/>
        <v>521</v>
      </c>
    </row>
    <row r="530" spans="1:10" ht="15.75" customHeight="1" thickBot="1">
      <c r="A530" s="237">
        <f t="shared" ca="1" si="66"/>
        <v>62167</v>
      </c>
      <c r="B530" s="238">
        <f t="shared" ca="1" si="67"/>
        <v>1524240</v>
      </c>
      <c r="C530" s="238">
        <f t="shared" ca="1" si="68"/>
        <v>0</v>
      </c>
      <c r="D530" s="155">
        <f t="shared" ca="1" si="69"/>
        <v>522</v>
      </c>
      <c r="E530" s="209">
        <f t="shared" ca="1" si="64"/>
        <v>6</v>
      </c>
      <c r="F530" s="10">
        <f t="shared" ca="1" si="70"/>
        <v>62167</v>
      </c>
      <c r="G530" s="156">
        <f t="shared" ca="1" si="71"/>
        <v>1524239.7716830967</v>
      </c>
      <c r="H530" s="156">
        <f ca="1">SUM($G$8:G530)*gamma</f>
        <v>6928532.824627378</v>
      </c>
      <c r="I530" s="23">
        <f ca="1">MAX(0,ROUND($I$7-$H$7-H530-SUM($G$8:G530),0))</f>
        <v>0</v>
      </c>
      <c r="J530" s="208">
        <f t="shared" ca="1" si="65"/>
        <v>522</v>
      </c>
    </row>
    <row r="531" spans="1:10" ht="15.75" customHeight="1" thickBot="1">
      <c r="A531" s="237">
        <f t="shared" ca="1" si="66"/>
        <v>62198</v>
      </c>
      <c r="B531" s="238">
        <f t="shared" ca="1" si="67"/>
        <v>1524240</v>
      </c>
      <c r="C531" s="238">
        <f t="shared" ca="1" si="68"/>
        <v>0</v>
      </c>
      <c r="D531" s="155">
        <f t="shared" ca="1" si="69"/>
        <v>523</v>
      </c>
      <c r="E531" s="209">
        <f t="shared" ca="1" si="64"/>
        <v>7</v>
      </c>
      <c r="F531" s="10">
        <f t="shared" ca="1" si="70"/>
        <v>62198</v>
      </c>
      <c r="G531" s="156">
        <f t="shared" ca="1" si="71"/>
        <v>1524239.7716830967</v>
      </c>
      <c r="H531" s="156">
        <f ca="1">SUM($G$8:G531)*gamma</f>
        <v>6974260.0177778713</v>
      </c>
      <c r="I531" s="23">
        <f ca="1">MAX(0,ROUND($I$7-$H$7-H531-SUM($G$8:G531),0))</f>
        <v>0</v>
      </c>
      <c r="J531" s="208">
        <f t="shared" ca="1" si="65"/>
        <v>523</v>
      </c>
    </row>
    <row r="532" spans="1:10" ht="15.75" customHeight="1" thickBot="1">
      <c r="A532" s="237">
        <f t="shared" ca="1" si="66"/>
        <v>62228</v>
      </c>
      <c r="B532" s="238">
        <f t="shared" ca="1" si="67"/>
        <v>1524240</v>
      </c>
      <c r="C532" s="238">
        <f t="shared" ca="1" si="68"/>
        <v>0</v>
      </c>
      <c r="D532" s="155">
        <f t="shared" ca="1" si="69"/>
        <v>524</v>
      </c>
      <c r="E532" s="209">
        <f t="shared" ca="1" si="64"/>
        <v>8</v>
      </c>
      <c r="F532" s="10">
        <f t="shared" ca="1" si="70"/>
        <v>62228</v>
      </c>
      <c r="G532" s="156">
        <f t="shared" ca="1" si="71"/>
        <v>1524239.7716830967</v>
      </c>
      <c r="H532" s="156">
        <f ca="1">SUM($G$8:G532)*gamma</f>
        <v>7019987.2109283637</v>
      </c>
      <c r="I532" s="23">
        <f ca="1">MAX(0,ROUND($I$7-$H$7-H532-SUM($G$8:G532),0))</f>
        <v>0</v>
      </c>
      <c r="J532" s="208">
        <f t="shared" ca="1" si="65"/>
        <v>524</v>
      </c>
    </row>
    <row r="533" spans="1:10" ht="15.75" customHeight="1" thickBot="1">
      <c r="A533" s="237">
        <f t="shared" ca="1" si="66"/>
        <v>62259</v>
      </c>
      <c r="B533" s="238">
        <f t="shared" ca="1" si="67"/>
        <v>1524240</v>
      </c>
      <c r="C533" s="238">
        <f t="shared" ca="1" si="68"/>
        <v>0</v>
      </c>
      <c r="D533" s="155">
        <f t="shared" ca="1" si="69"/>
        <v>525</v>
      </c>
      <c r="E533" s="209">
        <f t="shared" ca="1" si="64"/>
        <v>9</v>
      </c>
      <c r="F533" s="10">
        <f t="shared" ca="1" si="70"/>
        <v>62259</v>
      </c>
      <c r="G533" s="156">
        <f t="shared" ca="1" si="71"/>
        <v>1524239.7716830967</v>
      </c>
      <c r="H533" s="156">
        <f ca="1">SUM($G$8:G533)*gamma</f>
        <v>7065714.404078857</v>
      </c>
      <c r="I533" s="23">
        <f ca="1">MAX(0,ROUND($I$7-$H$7-H533-SUM($G$8:G533),0))</f>
        <v>0</v>
      </c>
      <c r="J533" s="208">
        <f t="shared" ca="1" si="65"/>
        <v>525</v>
      </c>
    </row>
    <row r="534" spans="1:10" ht="15.75" customHeight="1" thickBot="1">
      <c r="A534" s="237">
        <f t="shared" ca="1" si="66"/>
        <v>62289</v>
      </c>
      <c r="B534" s="238">
        <f t="shared" ca="1" si="67"/>
        <v>1524240</v>
      </c>
      <c r="C534" s="238">
        <f t="shared" ca="1" si="68"/>
        <v>0</v>
      </c>
      <c r="D534" s="155">
        <f t="shared" ca="1" si="69"/>
        <v>526</v>
      </c>
      <c r="E534" s="209">
        <f t="shared" ca="1" si="64"/>
        <v>10</v>
      </c>
      <c r="F534" s="10">
        <f t="shared" ca="1" si="70"/>
        <v>62289</v>
      </c>
      <c r="G534" s="156">
        <f t="shared" ca="1" si="71"/>
        <v>1524239.7716830967</v>
      </c>
      <c r="H534" s="156">
        <f ca="1">SUM($G$8:G534)*gamma</f>
        <v>7111441.5972293494</v>
      </c>
      <c r="I534" s="23">
        <f ca="1">MAX(0,ROUND($I$7-$H$7-H534-SUM($G$8:G534),0))</f>
        <v>0</v>
      </c>
      <c r="J534" s="208">
        <f t="shared" ca="1" si="65"/>
        <v>526</v>
      </c>
    </row>
    <row r="535" spans="1:10" ht="15.75" customHeight="1" thickBot="1">
      <c r="A535" s="237">
        <f t="shared" ca="1" si="66"/>
        <v>62320</v>
      </c>
      <c r="B535" s="238">
        <f t="shared" ca="1" si="67"/>
        <v>1524240</v>
      </c>
      <c r="C535" s="238">
        <f t="shared" ca="1" si="68"/>
        <v>0</v>
      </c>
      <c r="D535" s="155">
        <f t="shared" ca="1" si="69"/>
        <v>527</v>
      </c>
      <c r="E535" s="209">
        <f t="shared" ca="1" si="64"/>
        <v>11</v>
      </c>
      <c r="F535" s="10">
        <f t="shared" ca="1" si="70"/>
        <v>62320</v>
      </c>
      <c r="G535" s="156">
        <f t="shared" ca="1" si="71"/>
        <v>1524239.7716830967</v>
      </c>
      <c r="H535" s="156">
        <f ca="1">SUM($G$8:G535)*gamma</f>
        <v>7157168.7903798427</v>
      </c>
      <c r="I535" s="23">
        <f ca="1">MAX(0,ROUND($I$7-$H$7-H535-SUM($G$8:G535),0))</f>
        <v>0</v>
      </c>
      <c r="J535" s="208">
        <f t="shared" ca="1" si="65"/>
        <v>527</v>
      </c>
    </row>
    <row r="536" spans="1:10" ht="15.75" customHeight="1" thickBot="1">
      <c r="A536" s="237">
        <f t="shared" ca="1" si="66"/>
        <v>62351</v>
      </c>
      <c r="B536" s="238">
        <f t="shared" ca="1" si="67"/>
        <v>1646179</v>
      </c>
      <c r="C536" s="238">
        <f t="shared" ca="1" si="68"/>
        <v>0</v>
      </c>
      <c r="D536" s="155">
        <f t="shared" ca="1" si="69"/>
        <v>528</v>
      </c>
      <c r="E536" s="209">
        <f t="shared" ca="1" si="64"/>
        <v>0</v>
      </c>
      <c r="F536" s="10">
        <f t="shared" ca="1" si="70"/>
        <v>62351</v>
      </c>
      <c r="G536" s="156">
        <f t="shared" ca="1" si="71"/>
        <v>1646178.9534177445</v>
      </c>
      <c r="H536" s="156">
        <f ca="1">SUM($G$8:G536)*gamma</f>
        <v>7206554.1589823747</v>
      </c>
      <c r="I536" s="23">
        <f ca="1">MAX(0,ROUND($I$7-$H$7-H536-SUM($G$8:G536),0))</f>
        <v>0</v>
      </c>
      <c r="J536" s="208">
        <f t="shared" ca="1" si="65"/>
        <v>528</v>
      </c>
    </row>
    <row r="537" spans="1:10" ht="15.75" customHeight="1" thickBot="1">
      <c r="A537" s="237">
        <f t="shared" ca="1" si="66"/>
        <v>62381</v>
      </c>
      <c r="B537" s="238">
        <f t="shared" ca="1" si="67"/>
        <v>1646179</v>
      </c>
      <c r="C537" s="238">
        <f t="shared" ca="1" si="68"/>
        <v>0</v>
      </c>
      <c r="D537" s="155">
        <f t="shared" ca="1" si="69"/>
        <v>529</v>
      </c>
      <c r="E537" s="209">
        <f t="shared" ca="1" si="64"/>
        <v>1</v>
      </c>
      <c r="F537" s="10">
        <f t="shared" ca="1" si="70"/>
        <v>62381</v>
      </c>
      <c r="G537" s="156">
        <f t="shared" ca="1" si="71"/>
        <v>1646178.9534177445</v>
      </c>
      <c r="H537" s="156">
        <f ca="1">SUM($G$8:G537)*gamma</f>
        <v>7255939.5275849076</v>
      </c>
      <c r="I537" s="23">
        <f ca="1">MAX(0,ROUND($I$7-$H$7-H537-SUM($G$8:G537),0))</f>
        <v>0</v>
      </c>
      <c r="J537" s="208">
        <f t="shared" ca="1" si="65"/>
        <v>529</v>
      </c>
    </row>
    <row r="538" spans="1:10" ht="15.75" customHeight="1" thickBot="1">
      <c r="A538" s="237">
        <f t="shared" ca="1" si="66"/>
        <v>62412</v>
      </c>
      <c r="B538" s="238">
        <f t="shared" ca="1" si="67"/>
        <v>1646179</v>
      </c>
      <c r="C538" s="238">
        <f t="shared" ca="1" si="68"/>
        <v>0</v>
      </c>
      <c r="D538" s="155">
        <f t="shared" ca="1" si="69"/>
        <v>530</v>
      </c>
      <c r="E538" s="209">
        <f t="shared" ca="1" si="64"/>
        <v>2</v>
      </c>
      <c r="F538" s="10">
        <f t="shared" ca="1" si="70"/>
        <v>62412</v>
      </c>
      <c r="G538" s="156">
        <f t="shared" ca="1" si="71"/>
        <v>1646178.9534177445</v>
      </c>
      <c r="H538" s="156">
        <f ca="1">SUM($G$8:G538)*gamma</f>
        <v>7305324.8961874396</v>
      </c>
      <c r="I538" s="23">
        <f ca="1">MAX(0,ROUND($I$7-$H$7-H538-SUM($G$8:G538),0))</f>
        <v>0</v>
      </c>
      <c r="J538" s="208">
        <f t="shared" ca="1" si="65"/>
        <v>530</v>
      </c>
    </row>
    <row r="539" spans="1:10" ht="15.75" customHeight="1" thickBot="1">
      <c r="A539" s="237">
        <f t="shared" ca="1" si="66"/>
        <v>62442</v>
      </c>
      <c r="B539" s="238">
        <f t="shared" ca="1" si="67"/>
        <v>1646179</v>
      </c>
      <c r="C539" s="238">
        <f t="shared" ca="1" si="68"/>
        <v>0</v>
      </c>
      <c r="D539" s="155">
        <f t="shared" ca="1" si="69"/>
        <v>531</v>
      </c>
      <c r="E539" s="209">
        <f t="shared" ca="1" si="64"/>
        <v>3</v>
      </c>
      <c r="F539" s="10">
        <f t="shared" ca="1" si="70"/>
        <v>62442</v>
      </c>
      <c r="G539" s="156">
        <f t="shared" ca="1" si="71"/>
        <v>1646178.9534177445</v>
      </c>
      <c r="H539" s="156">
        <f ca="1">SUM($G$8:G539)*gamma</f>
        <v>7354710.2647899725</v>
      </c>
      <c r="I539" s="23">
        <f ca="1">MAX(0,ROUND($I$7-$H$7-H539-SUM($G$8:G539),0))</f>
        <v>0</v>
      </c>
      <c r="J539" s="208">
        <f t="shared" ca="1" si="65"/>
        <v>531</v>
      </c>
    </row>
    <row r="540" spans="1:10" ht="15.75" customHeight="1" thickBot="1">
      <c r="A540" s="237">
        <f t="shared" ca="1" si="66"/>
        <v>62473</v>
      </c>
      <c r="B540" s="238">
        <f t="shared" ca="1" si="67"/>
        <v>1646179</v>
      </c>
      <c r="C540" s="238">
        <f t="shared" ca="1" si="68"/>
        <v>0</v>
      </c>
      <c r="D540" s="155">
        <f t="shared" ca="1" si="69"/>
        <v>532</v>
      </c>
      <c r="E540" s="209">
        <f t="shared" ca="1" si="64"/>
        <v>4</v>
      </c>
      <c r="F540" s="10">
        <f t="shared" ca="1" si="70"/>
        <v>62473</v>
      </c>
      <c r="G540" s="156">
        <f t="shared" ca="1" si="71"/>
        <v>1646178.9534177445</v>
      </c>
      <c r="H540" s="156">
        <f ca="1">SUM($G$8:G540)*gamma</f>
        <v>7404095.6333925044</v>
      </c>
      <c r="I540" s="23">
        <f ca="1">MAX(0,ROUND($I$7-$H$7-H540-SUM($G$8:G540),0))</f>
        <v>0</v>
      </c>
      <c r="J540" s="208">
        <f t="shared" ca="1" si="65"/>
        <v>532</v>
      </c>
    </row>
    <row r="541" spans="1:10" ht="15.75" customHeight="1" thickBot="1">
      <c r="A541" s="237">
        <f t="shared" ca="1" si="66"/>
        <v>62504</v>
      </c>
      <c r="B541" s="238">
        <f t="shared" ca="1" si="67"/>
        <v>1646179</v>
      </c>
      <c r="C541" s="238">
        <f t="shared" ca="1" si="68"/>
        <v>0</v>
      </c>
      <c r="D541" s="155">
        <f t="shared" ca="1" si="69"/>
        <v>533</v>
      </c>
      <c r="E541" s="209">
        <f t="shared" ca="1" si="64"/>
        <v>5</v>
      </c>
      <c r="F541" s="10">
        <f t="shared" ca="1" si="70"/>
        <v>62504</v>
      </c>
      <c r="G541" s="156">
        <f t="shared" ca="1" si="71"/>
        <v>1646178.9534177445</v>
      </c>
      <c r="H541" s="156">
        <f ca="1">SUM($G$8:G541)*gamma</f>
        <v>7453481.0019950373</v>
      </c>
      <c r="I541" s="23">
        <f ca="1">MAX(0,ROUND($I$7-$H$7-H541-SUM($G$8:G541),0))</f>
        <v>0</v>
      </c>
      <c r="J541" s="208">
        <f t="shared" ca="1" si="65"/>
        <v>533</v>
      </c>
    </row>
    <row r="542" spans="1:10" ht="15.75" customHeight="1" thickBot="1">
      <c r="A542" s="237">
        <f t="shared" ca="1" si="66"/>
        <v>62532</v>
      </c>
      <c r="B542" s="238">
        <f t="shared" ca="1" si="67"/>
        <v>1646179</v>
      </c>
      <c r="C542" s="238">
        <f t="shared" ca="1" si="68"/>
        <v>0</v>
      </c>
      <c r="D542" s="155">
        <f t="shared" ca="1" si="69"/>
        <v>534</v>
      </c>
      <c r="E542" s="209">
        <f t="shared" ca="1" si="64"/>
        <v>6</v>
      </c>
      <c r="F542" s="10">
        <f t="shared" ca="1" si="70"/>
        <v>62532</v>
      </c>
      <c r="G542" s="156">
        <f t="shared" ca="1" si="71"/>
        <v>1646178.9534177445</v>
      </c>
      <c r="H542" s="156">
        <f ca="1">SUM($G$8:G542)*gamma</f>
        <v>7502866.3705975693</v>
      </c>
      <c r="I542" s="23">
        <f ca="1">MAX(0,ROUND($I$7-$H$7-H542-SUM($G$8:G542),0))</f>
        <v>0</v>
      </c>
      <c r="J542" s="208">
        <f t="shared" ca="1" si="65"/>
        <v>534</v>
      </c>
    </row>
    <row r="543" spans="1:10" ht="15.75" customHeight="1" thickBot="1">
      <c r="A543" s="237">
        <f t="shared" ca="1" si="66"/>
        <v>62563</v>
      </c>
      <c r="B543" s="238">
        <f t="shared" ca="1" si="67"/>
        <v>1646179</v>
      </c>
      <c r="C543" s="238">
        <f t="shared" ca="1" si="68"/>
        <v>0</v>
      </c>
      <c r="D543" s="155">
        <f t="shared" ca="1" si="69"/>
        <v>535</v>
      </c>
      <c r="E543" s="209">
        <f t="shared" ca="1" si="64"/>
        <v>7</v>
      </c>
      <c r="F543" s="10">
        <f t="shared" ca="1" si="70"/>
        <v>62563</v>
      </c>
      <c r="G543" s="156">
        <f t="shared" ca="1" si="71"/>
        <v>1646178.9534177445</v>
      </c>
      <c r="H543" s="156">
        <f ca="1">SUM($G$8:G543)*gamma</f>
        <v>7552251.7392001022</v>
      </c>
      <c r="I543" s="23">
        <f ca="1">MAX(0,ROUND($I$7-$H$7-H543-SUM($G$8:G543),0))</f>
        <v>0</v>
      </c>
      <c r="J543" s="208">
        <f t="shared" ca="1" si="65"/>
        <v>535</v>
      </c>
    </row>
    <row r="544" spans="1:10" ht="15.75" customHeight="1" thickBot="1">
      <c r="A544" s="237">
        <f t="shared" ca="1" si="66"/>
        <v>62593</v>
      </c>
      <c r="B544" s="238">
        <f t="shared" ca="1" si="67"/>
        <v>1646179</v>
      </c>
      <c r="C544" s="238">
        <f t="shared" ca="1" si="68"/>
        <v>0</v>
      </c>
      <c r="D544" s="155">
        <f t="shared" ca="1" si="69"/>
        <v>536</v>
      </c>
      <c r="E544" s="209">
        <f t="shared" ca="1" si="64"/>
        <v>8</v>
      </c>
      <c r="F544" s="10">
        <f t="shared" ca="1" si="70"/>
        <v>62593</v>
      </c>
      <c r="G544" s="156">
        <f t="shared" ca="1" si="71"/>
        <v>1646178.9534177445</v>
      </c>
      <c r="H544" s="156">
        <f ca="1">SUM($G$8:G544)*gamma</f>
        <v>7601637.1078026341</v>
      </c>
      <c r="I544" s="23">
        <f ca="1">MAX(0,ROUND($I$7-$H$7-H544-SUM($G$8:G544),0))</f>
        <v>0</v>
      </c>
      <c r="J544" s="208">
        <f t="shared" ca="1" si="65"/>
        <v>536</v>
      </c>
    </row>
    <row r="545" spans="1:10" ht="15.75" customHeight="1" thickBot="1">
      <c r="A545" s="237">
        <f t="shared" ca="1" si="66"/>
        <v>62624</v>
      </c>
      <c r="B545" s="238">
        <f t="shared" ca="1" si="67"/>
        <v>1646179</v>
      </c>
      <c r="C545" s="238">
        <f t="shared" ca="1" si="68"/>
        <v>0</v>
      </c>
      <c r="D545" s="155">
        <f t="shared" ca="1" si="69"/>
        <v>537</v>
      </c>
      <c r="E545" s="209">
        <f t="shared" ca="1" si="64"/>
        <v>9</v>
      </c>
      <c r="F545" s="10">
        <f t="shared" ca="1" si="70"/>
        <v>62624</v>
      </c>
      <c r="G545" s="156">
        <f t="shared" ca="1" si="71"/>
        <v>1646178.9534177445</v>
      </c>
      <c r="H545" s="156">
        <f ca="1">SUM($G$8:G545)*gamma</f>
        <v>7651022.476405167</v>
      </c>
      <c r="I545" s="23">
        <f ca="1">MAX(0,ROUND($I$7-$H$7-H545-SUM($G$8:G545),0))</f>
        <v>0</v>
      </c>
      <c r="J545" s="208">
        <f t="shared" ca="1" si="65"/>
        <v>537</v>
      </c>
    </row>
    <row r="546" spans="1:10" ht="15.75" customHeight="1" thickBot="1">
      <c r="A546" s="237">
        <f t="shared" ca="1" si="66"/>
        <v>62654</v>
      </c>
      <c r="B546" s="238">
        <f t="shared" ca="1" si="67"/>
        <v>1646179</v>
      </c>
      <c r="C546" s="238">
        <f t="shared" ca="1" si="68"/>
        <v>0</v>
      </c>
      <c r="D546" s="155">
        <f t="shared" ca="1" si="69"/>
        <v>538</v>
      </c>
      <c r="E546" s="209">
        <f t="shared" ca="1" si="64"/>
        <v>10</v>
      </c>
      <c r="F546" s="10">
        <f t="shared" ca="1" si="70"/>
        <v>62654</v>
      </c>
      <c r="G546" s="156">
        <f t="shared" ca="1" si="71"/>
        <v>1646178.9534177445</v>
      </c>
      <c r="H546" s="156">
        <f ca="1">SUM($G$8:G546)*gamma</f>
        <v>7700407.845007699</v>
      </c>
      <c r="I546" s="23">
        <f ca="1">MAX(0,ROUND($I$7-$H$7-H546-SUM($G$8:G546),0))</f>
        <v>0</v>
      </c>
      <c r="J546" s="208">
        <f t="shared" ca="1" si="65"/>
        <v>538</v>
      </c>
    </row>
    <row r="547" spans="1:10" ht="15.75" customHeight="1" thickBot="1">
      <c r="A547" s="237">
        <f t="shared" ca="1" si="66"/>
        <v>62685</v>
      </c>
      <c r="B547" s="238">
        <f t="shared" ca="1" si="67"/>
        <v>1646179</v>
      </c>
      <c r="C547" s="238">
        <f t="shared" ca="1" si="68"/>
        <v>0</v>
      </c>
      <c r="D547" s="155">
        <f t="shared" ca="1" si="69"/>
        <v>539</v>
      </c>
      <c r="E547" s="209">
        <f t="shared" ca="1" si="64"/>
        <v>11</v>
      </c>
      <c r="F547" s="10">
        <f t="shared" ca="1" si="70"/>
        <v>62685</v>
      </c>
      <c r="G547" s="156">
        <f t="shared" ca="1" si="71"/>
        <v>1646178.9534177445</v>
      </c>
      <c r="H547" s="156">
        <f ca="1">SUM($G$8:G547)*gamma</f>
        <v>7749793.2136102319</v>
      </c>
      <c r="I547" s="23">
        <f ca="1">MAX(0,ROUND($I$7-$H$7-H547-SUM($G$8:G547),0))</f>
        <v>0</v>
      </c>
      <c r="J547" s="208">
        <f t="shared" ca="1" si="65"/>
        <v>539</v>
      </c>
    </row>
    <row r="548" spans="1:10" ht="15.75" customHeight="1" thickBot="1">
      <c r="A548" s="237">
        <f t="shared" ca="1" si="66"/>
        <v>62716</v>
      </c>
      <c r="B548" s="238">
        <f t="shared" ca="1" si="67"/>
        <v>1777873</v>
      </c>
      <c r="C548" s="238">
        <f t="shared" ca="1" si="68"/>
        <v>0</v>
      </c>
      <c r="D548" s="155">
        <f t="shared" ca="1" si="69"/>
        <v>540</v>
      </c>
      <c r="E548" s="209">
        <f t="shared" ca="1" si="64"/>
        <v>0</v>
      </c>
      <c r="F548" s="10">
        <f t="shared" ca="1" si="70"/>
        <v>62716</v>
      </c>
      <c r="G548" s="156">
        <f t="shared" ca="1" si="71"/>
        <v>1777873.2696911641</v>
      </c>
      <c r="H548" s="156">
        <f ca="1">SUM($G$8:G548)*gamma</f>
        <v>7803129.4117009668</v>
      </c>
      <c r="I548" s="23">
        <f ca="1">MAX(0,ROUND($I$7-$H$7-H548-SUM($G$8:G548),0))</f>
        <v>0</v>
      </c>
      <c r="J548" s="208">
        <f t="shared" ca="1" si="65"/>
        <v>540</v>
      </c>
    </row>
    <row r="549" spans="1:10" ht="15.75" customHeight="1" thickBot="1">
      <c r="A549" s="237">
        <f t="shared" ca="1" si="66"/>
        <v>62746</v>
      </c>
      <c r="B549" s="238">
        <f t="shared" ca="1" si="67"/>
        <v>1777873</v>
      </c>
      <c r="C549" s="238">
        <f t="shared" ca="1" si="68"/>
        <v>0</v>
      </c>
      <c r="D549" s="155">
        <f t="shared" ca="1" si="69"/>
        <v>541</v>
      </c>
      <c r="E549" s="209">
        <f t="shared" ca="1" si="64"/>
        <v>1</v>
      </c>
      <c r="F549" s="10">
        <f t="shared" ca="1" si="70"/>
        <v>62746</v>
      </c>
      <c r="G549" s="156">
        <f t="shared" ca="1" si="71"/>
        <v>1777873.2696911641</v>
      </c>
      <c r="H549" s="156">
        <f ca="1">SUM($G$8:G549)*gamma</f>
        <v>7856465.6097917017</v>
      </c>
      <c r="I549" s="23">
        <f ca="1">MAX(0,ROUND($I$7-$H$7-H549-SUM($G$8:G549),0))</f>
        <v>0</v>
      </c>
      <c r="J549" s="208">
        <f t="shared" ca="1" si="65"/>
        <v>541</v>
      </c>
    </row>
    <row r="550" spans="1:10" ht="15.75" customHeight="1" thickBot="1">
      <c r="A550" s="237">
        <f t="shared" ca="1" si="66"/>
        <v>62777</v>
      </c>
      <c r="B550" s="238">
        <f t="shared" ca="1" si="67"/>
        <v>1777873</v>
      </c>
      <c r="C550" s="238">
        <f t="shared" ca="1" si="68"/>
        <v>0</v>
      </c>
      <c r="D550" s="155">
        <f t="shared" ca="1" si="69"/>
        <v>542</v>
      </c>
      <c r="E550" s="209">
        <f t="shared" ca="1" si="64"/>
        <v>2</v>
      </c>
      <c r="F550" s="10">
        <f t="shared" ca="1" si="70"/>
        <v>62777</v>
      </c>
      <c r="G550" s="156">
        <f t="shared" ca="1" si="71"/>
        <v>1777873.2696911641</v>
      </c>
      <c r="H550" s="156">
        <f ca="1">SUM($G$8:G550)*gamma</f>
        <v>7909801.8078824375</v>
      </c>
      <c r="I550" s="23">
        <f ca="1">MAX(0,ROUND($I$7-$H$7-H550-SUM($G$8:G550),0))</f>
        <v>0</v>
      </c>
      <c r="J550" s="208">
        <f t="shared" ca="1" si="65"/>
        <v>542</v>
      </c>
    </row>
    <row r="551" spans="1:10" ht="15.75" customHeight="1" thickBot="1">
      <c r="A551" s="237">
        <f t="shared" ca="1" si="66"/>
        <v>62807</v>
      </c>
      <c r="B551" s="238">
        <f t="shared" ca="1" si="67"/>
        <v>1777873</v>
      </c>
      <c r="C551" s="238">
        <f t="shared" ca="1" si="68"/>
        <v>0</v>
      </c>
      <c r="D551" s="155">
        <f t="shared" ca="1" si="69"/>
        <v>543</v>
      </c>
      <c r="E551" s="209">
        <f t="shared" ca="1" si="64"/>
        <v>3</v>
      </c>
      <c r="F551" s="10">
        <f t="shared" ca="1" si="70"/>
        <v>62807</v>
      </c>
      <c r="G551" s="156">
        <f t="shared" ca="1" si="71"/>
        <v>1777873.2696911641</v>
      </c>
      <c r="H551" s="156">
        <f ca="1">SUM($G$8:G551)*gamma</f>
        <v>7963138.0059731724</v>
      </c>
      <c r="I551" s="23">
        <f ca="1">MAX(0,ROUND($I$7-$H$7-H551-SUM($G$8:G551),0))</f>
        <v>0</v>
      </c>
      <c r="J551" s="208">
        <f t="shared" ca="1" si="65"/>
        <v>543</v>
      </c>
    </row>
    <row r="552" spans="1:10" ht="15.75" customHeight="1" thickBot="1">
      <c r="A552" s="237">
        <f t="shared" ca="1" si="66"/>
        <v>62838</v>
      </c>
      <c r="B552" s="238">
        <f t="shared" ca="1" si="67"/>
        <v>1777873</v>
      </c>
      <c r="C552" s="238">
        <f t="shared" ca="1" si="68"/>
        <v>0</v>
      </c>
      <c r="D552" s="155">
        <f t="shared" ca="1" si="69"/>
        <v>544</v>
      </c>
      <c r="E552" s="209">
        <f t="shared" ca="1" si="64"/>
        <v>4</v>
      </c>
      <c r="F552" s="10">
        <f t="shared" ca="1" si="70"/>
        <v>62838</v>
      </c>
      <c r="G552" s="156">
        <f t="shared" ca="1" si="71"/>
        <v>1777873.2696911641</v>
      </c>
      <c r="H552" s="156">
        <f ca="1">SUM($G$8:G552)*gamma</f>
        <v>8016474.2040639073</v>
      </c>
      <c r="I552" s="23">
        <f ca="1">MAX(0,ROUND($I$7-$H$7-H552-SUM($G$8:G552),0))</f>
        <v>0</v>
      </c>
      <c r="J552" s="208">
        <f t="shared" ca="1" si="65"/>
        <v>544</v>
      </c>
    </row>
    <row r="553" spans="1:10" ht="15.75" customHeight="1" thickBot="1">
      <c r="A553" s="237">
        <f t="shared" ca="1" si="66"/>
        <v>62869</v>
      </c>
      <c r="B553" s="238">
        <f t="shared" ca="1" si="67"/>
        <v>1777873</v>
      </c>
      <c r="C553" s="238">
        <f t="shared" ca="1" si="68"/>
        <v>0</v>
      </c>
      <c r="D553" s="155">
        <f t="shared" ca="1" si="69"/>
        <v>545</v>
      </c>
      <c r="E553" s="209">
        <f t="shared" ca="1" si="64"/>
        <v>5</v>
      </c>
      <c r="F553" s="10">
        <f t="shared" ca="1" si="70"/>
        <v>62869</v>
      </c>
      <c r="G553" s="156">
        <f t="shared" ca="1" si="71"/>
        <v>1777873.2696911641</v>
      </c>
      <c r="H553" s="156">
        <f ca="1">SUM($G$8:G553)*gamma</f>
        <v>8069810.4021546412</v>
      </c>
      <c r="I553" s="23">
        <f ca="1">MAX(0,ROUND($I$7-$H$7-H553-SUM($G$8:G553),0))</f>
        <v>0</v>
      </c>
      <c r="J553" s="208">
        <f t="shared" ca="1" si="65"/>
        <v>545</v>
      </c>
    </row>
    <row r="554" spans="1:10" ht="15.75" customHeight="1" thickBot="1">
      <c r="A554" s="237">
        <f t="shared" ca="1" si="66"/>
        <v>62898</v>
      </c>
      <c r="B554" s="238">
        <f t="shared" ca="1" si="67"/>
        <v>1777873</v>
      </c>
      <c r="C554" s="238">
        <f t="shared" ca="1" si="68"/>
        <v>0</v>
      </c>
      <c r="D554" s="155">
        <f t="shared" ca="1" si="69"/>
        <v>546</v>
      </c>
      <c r="E554" s="209">
        <f t="shared" ca="1" si="64"/>
        <v>6</v>
      </c>
      <c r="F554" s="10">
        <f t="shared" ca="1" si="70"/>
        <v>62898</v>
      </c>
      <c r="G554" s="156">
        <f t="shared" ca="1" si="71"/>
        <v>1777873.2696911641</v>
      </c>
      <c r="H554" s="156">
        <f ca="1">SUM($G$8:G554)*gamma</f>
        <v>8123146.6002453761</v>
      </c>
      <c r="I554" s="23">
        <f ca="1">MAX(0,ROUND($I$7-$H$7-H554-SUM($G$8:G554),0))</f>
        <v>0</v>
      </c>
      <c r="J554" s="208">
        <f t="shared" ca="1" si="65"/>
        <v>546</v>
      </c>
    </row>
    <row r="555" spans="1:10" ht="15.75" customHeight="1" thickBot="1">
      <c r="A555" s="237">
        <f t="shared" ca="1" si="66"/>
        <v>62929</v>
      </c>
      <c r="B555" s="238">
        <f t="shared" ca="1" si="67"/>
        <v>1777873</v>
      </c>
      <c r="C555" s="238">
        <f t="shared" ca="1" si="68"/>
        <v>0</v>
      </c>
      <c r="D555" s="155">
        <f t="shared" ca="1" si="69"/>
        <v>547</v>
      </c>
      <c r="E555" s="209">
        <f t="shared" ca="1" si="64"/>
        <v>7</v>
      </c>
      <c r="F555" s="10">
        <f t="shared" ca="1" si="70"/>
        <v>62929</v>
      </c>
      <c r="G555" s="156">
        <f t="shared" ca="1" si="71"/>
        <v>1777873.2696911641</v>
      </c>
      <c r="H555" s="156">
        <f ca="1">SUM($G$8:G555)*gamma</f>
        <v>8176482.7983361119</v>
      </c>
      <c r="I555" s="23">
        <f ca="1">MAX(0,ROUND($I$7-$H$7-H555-SUM($G$8:G555),0))</f>
        <v>0</v>
      </c>
      <c r="J555" s="208">
        <f t="shared" ca="1" si="65"/>
        <v>547</v>
      </c>
    </row>
    <row r="556" spans="1:10" ht="15.75" customHeight="1" thickBot="1">
      <c r="A556" s="237">
        <f t="shared" ca="1" si="66"/>
        <v>62959</v>
      </c>
      <c r="B556" s="238">
        <f t="shared" ca="1" si="67"/>
        <v>1777873</v>
      </c>
      <c r="C556" s="238">
        <f t="shared" ca="1" si="68"/>
        <v>0</v>
      </c>
      <c r="D556" s="155">
        <f t="shared" ca="1" si="69"/>
        <v>548</v>
      </c>
      <c r="E556" s="209">
        <f t="shared" ca="1" si="64"/>
        <v>8</v>
      </c>
      <c r="F556" s="10">
        <f t="shared" ca="1" si="70"/>
        <v>62959</v>
      </c>
      <c r="G556" s="156">
        <f t="shared" ca="1" si="71"/>
        <v>1777873.2696911641</v>
      </c>
      <c r="H556" s="156">
        <f ca="1">SUM($G$8:G556)*gamma</f>
        <v>8229818.9964268468</v>
      </c>
      <c r="I556" s="23">
        <f ca="1">MAX(0,ROUND($I$7-$H$7-H556-SUM($G$8:G556),0))</f>
        <v>0</v>
      </c>
      <c r="J556" s="208">
        <f t="shared" ca="1" si="65"/>
        <v>548</v>
      </c>
    </row>
    <row r="557" spans="1:10" ht="15.75" customHeight="1" thickBot="1">
      <c r="A557" s="237">
        <f t="shared" ca="1" si="66"/>
        <v>62990</v>
      </c>
      <c r="B557" s="238">
        <f t="shared" ca="1" si="67"/>
        <v>1777873</v>
      </c>
      <c r="C557" s="238">
        <f t="shared" ca="1" si="68"/>
        <v>0</v>
      </c>
      <c r="D557" s="155">
        <f t="shared" ca="1" si="69"/>
        <v>549</v>
      </c>
      <c r="E557" s="209">
        <f t="shared" ca="1" si="64"/>
        <v>9</v>
      </c>
      <c r="F557" s="10">
        <f t="shared" ca="1" si="70"/>
        <v>62990</v>
      </c>
      <c r="G557" s="156">
        <f t="shared" ca="1" si="71"/>
        <v>1777873.2696911641</v>
      </c>
      <c r="H557" s="156">
        <f ca="1">SUM($G$8:G557)*gamma</f>
        <v>8283155.1945175817</v>
      </c>
      <c r="I557" s="23">
        <f ca="1">MAX(0,ROUND($I$7-$H$7-H557-SUM($G$8:G557),0))</f>
        <v>0</v>
      </c>
      <c r="J557" s="208">
        <f t="shared" ca="1" si="65"/>
        <v>549</v>
      </c>
    </row>
    <row r="558" spans="1:10" ht="15.75" customHeight="1" thickBot="1">
      <c r="A558" s="237">
        <f t="shared" ca="1" si="66"/>
        <v>63020</v>
      </c>
      <c r="B558" s="238">
        <f t="shared" ca="1" si="67"/>
        <v>1777873</v>
      </c>
      <c r="C558" s="238">
        <f t="shared" ca="1" si="68"/>
        <v>0</v>
      </c>
      <c r="D558" s="155">
        <f t="shared" ca="1" si="69"/>
        <v>550</v>
      </c>
      <c r="E558" s="209">
        <f t="shared" ca="1" si="64"/>
        <v>10</v>
      </c>
      <c r="F558" s="10">
        <f t="shared" ca="1" si="70"/>
        <v>63020</v>
      </c>
      <c r="G558" s="156">
        <f t="shared" ca="1" si="71"/>
        <v>1777873.2696911641</v>
      </c>
      <c r="H558" s="156">
        <f ca="1">SUM($G$8:G558)*gamma</f>
        <v>8336491.3926083166</v>
      </c>
      <c r="I558" s="23">
        <f ca="1">MAX(0,ROUND($I$7-$H$7-H558-SUM($G$8:G558),0))</f>
        <v>0</v>
      </c>
      <c r="J558" s="208">
        <f t="shared" ca="1" si="65"/>
        <v>550</v>
      </c>
    </row>
    <row r="559" spans="1:10" ht="15.75" customHeight="1" thickBot="1">
      <c r="A559" s="237">
        <f t="shared" ca="1" si="66"/>
        <v>63051</v>
      </c>
      <c r="B559" s="238">
        <f t="shared" ca="1" si="67"/>
        <v>1777873</v>
      </c>
      <c r="C559" s="238">
        <f t="shared" ca="1" si="68"/>
        <v>0</v>
      </c>
      <c r="D559" s="155">
        <f t="shared" ca="1" si="69"/>
        <v>551</v>
      </c>
      <c r="E559" s="209">
        <f t="shared" ca="1" si="64"/>
        <v>11</v>
      </c>
      <c r="F559" s="10">
        <f t="shared" ca="1" si="70"/>
        <v>63051</v>
      </c>
      <c r="G559" s="156">
        <f t="shared" ca="1" si="71"/>
        <v>1777873.2696911641</v>
      </c>
      <c r="H559" s="156">
        <f ca="1">SUM($G$8:G559)*gamma</f>
        <v>8389827.5906990524</v>
      </c>
      <c r="I559" s="23">
        <f ca="1">MAX(0,ROUND($I$7-$H$7-H559-SUM($G$8:G559),0))</f>
        <v>0</v>
      </c>
      <c r="J559" s="208">
        <f t="shared" ca="1" si="65"/>
        <v>551</v>
      </c>
    </row>
    <row r="560" spans="1:10" ht="15.75" customHeight="1" thickBot="1">
      <c r="A560" s="237">
        <f t="shared" ca="1" si="66"/>
        <v>63082</v>
      </c>
      <c r="B560" s="238">
        <f t="shared" ca="1" si="67"/>
        <v>1920103</v>
      </c>
      <c r="C560" s="238">
        <f t="shared" ca="1" si="68"/>
        <v>0</v>
      </c>
      <c r="D560" s="155">
        <f t="shared" ca="1" si="69"/>
        <v>552</v>
      </c>
      <c r="E560" s="209">
        <f t="shared" ca="1" si="64"/>
        <v>0</v>
      </c>
      <c r="F560" s="10">
        <f t="shared" ca="1" si="70"/>
        <v>63082</v>
      </c>
      <c r="G560" s="156">
        <f t="shared" ca="1" si="71"/>
        <v>1920103.1312664575</v>
      </c>
      <c r="H560" s="156">
        <f ca="1">SUM($G$8:G560)*gamma</f>
        <v>8447430.6846370455</v>
      </c>
      <c r="I560" s="23">
        <f ca="1">MAX(0,ROUND($I$7-$H$7-H560-SUM($G$8:G560),0))</f>
        <v>0</v>
      </c>
      <c r="J560" s="208">
        <f t="shared" ca="1" si="65"/>
        <v>552</v>
      </c>
    </row>
    <row r="561" spans="1:10" ht="15.75" customHeight="1" thickBot="1">
      <c r="A561" s="237">
        <f t="shared" ca="1" si="66"/>
        <v>63112</v>
      </c>
      <c r="B561" s="238">
        <f t="shared" ca="1" si="67"/>
        <v>1920103</v>
      </c>
      <c r="C561" s="238">
        <f t="shared" ca="1" si="68"/>
        <v>0</v>
      </c>
      <c r="D561" s="155">
        <f t="shared" ca="1" si="69"/>
        <v>553</v>
      </c>
      <c r="E561" s="209">
        <f t="shared" ca="1" si="64"/>
        <v>1</v>
      </c>
      <c r="F561" s="10">
        <f t="shared" ca="1" si="70"/>
        <v>63112</v>
      </c>
      <c r="G561" s="156">
        <f t="shared" ca="1" si="71"/>
        <v>1920103.1312664575</v>
      </c>
      <c r="H561" s="156">
        <f ca="1">SUM($G$8:G561)*gamma</f>
        <v>8505033.7785750404</v>
      </c>
      <c r="I561" s="23">
        <f ca="1">MAX(0,ROUND($I$7-$H$7-H561-SUM($G$8:G561),0))</f>
        <v>0</v>
      </c>
      <c r="J561" s="208">
        <f t="shared" ca="1" si="65"/>
        <v>553</v>
      </c>
    </row>
    <row r="562" spans="1:10" ht="15.75" customHeight="1" thickBot="1">
      <c r="A562" s="237">
        <f t="shared" ca="1" si="66"/>
        <v>63143</v>
      </c>
      <c r="B562" s="238">
        <f t="shared" ca="1" si="67"/>
        <v>1920103</v>
      </c>
      <c r="C562" s="238">
        <f t="shared" ca="1" si="68"/>
        <v>0</v>
      </c>
      <c r="D562" s="155">
        <f t="shared" ca="1" si="69"/>
        <v>554</v>
      </c>
      <c r="E562" s="209">
        <f t="shared" ca="1" si="64"/>
        <v>2</v>
      </c>
      <c r="F562" s="10">
        <f t="shared" ca="1" si="70"/>
        <v>63143</v>
      </c>
      <c r="G562" s="156">
        <f t="shared" ca="1" si="71"/>
        <v>1920103.1312664575</v>
      </c>
      <c r="H562" s="156">
        <f ca="1">SUM($G$8:G562)*gamma</f>
        <v>8562636.8725130353</v>
      </c>
      <c r="I562" s="23">
        <f ca="1">MAX(0,ROUND($I$7-$H$7-H562-SUM($G$8:G562),0))</f>
        <v>0</v>
      </c>
      <c r="J562" s="208">
        <f t="shared" ca="1" si="65"/>
        <v>554</v>
      </c>
    </row>
    <row r="563" spans="1:10" ht="15.75" customHeight="1" thickBot="1">
      <c r="A563" s="237">
        <f t="shared" ca="1" si="66"/>
        <v>63173</v>
      </c>
      <c r="B563" s="238">
        <f t="shared" ca="1" si="67"/>
        <v>1920103</v>
      </c>
      <c r="C563" s="238">
        <f t="shared" ca="1" si="68"/>
        <v>0</v>
      </c>
      <c r="D563" s="155">
        <f t="shared" ca="1" si="69"/>
        <v>555</v>
      </c>
      <c r="E563" s="209">
        <f t="shared" ca="1" si="64"/>
        <v>3</v>
      </c>
      <c r="F563" s="10">
        <f t="shared" ca="1" si="70"/>
        <v>63173</v>
      </c>
      <c r="G563" s="156">
        <f t="shared" ca="1" si="71"/>
        <v>1920103.1312664575</v>
      </c>
      <c r="H563" s="156">
        <f ca="1">SUM($G$8:G563)*gamma</f>
        <v>8620239.9664510284</v>
      </c>
      <c r="I563" s="23">
        <f ca="1">MAX(0,ROUND($I$7-$H$7-H563-SUM($G$8:G563),0))</f>
        <v>0</v>
      </c>
      <c r="J563" s="208">
        <f t="shared" ca="1" si="65"/>
        <v>555</v>
      </c>
    </row>
    <row r="564" spans="1:10" ht="15.75" customHeight="1" thickBot="1">
      <c r="A564" s="237">
        <f t="shared" ca="1" si="66"/>
        <v>63204</v>
      </c>
      <c r="B564" s="238">
        <f t="shared" ca="1" si="67"/>
        <v>1920103</v>
      </c>
      <c r="C564" s="238">
        <f t="shared" ca="1" si="68"/>
        <v>0</v>
      </c>
      <c r="D564" s="155">
        <f t="shared" ca="1" si="69"/>
        <v>556</v>
      </c>
      <c r="E564" s="209">
        <f t="shared" ca="1" si="64"/>
        <v>4</v>
      </c>
      <c r="F564" s="10">
        <f t="shared" ca="1" si="70"/>
        <v>63204</v>
      </c>
      <c r="G564" s="156">
        <f t="shared" ca="1" si="71"/>
        <v>1920103.1312664575</v>
      </c>
      <c r="H564" s="156">
        <f ca="1">SUM($G$8:G564)*gamma</f>
        <v>8677843.0603890233</v>
      </c>
      <c r="I564" s="23">
        <f ca="1">MAX(0,ROUND($I$7-$H$7-H564-SUM($G$8:G564),0))</f>
        <v>0</v>
      </c>
      <c r="J564" s="208">
        <f t="shared" ca="1" si="65"/>
        <v>556</v>
      </c>
    </row>
    <row r="565" spans="1:10" ht="15.75" customHeight="1" thickBot="1">
      <c r="A565" s="237">
        <f t="shared" ca="1" si="66"/>
        <v>63235</v>
      </c>
      <c r="B565" s="238">
        <f t="shared" ca="1" si="67"/>
        <v>1920103</v>
      </c>
      <c r="C565" s="238">
        <f t="shared" ca="1" si="68"/>
        <v>0</v>
      </c>
      <c r="D565" s="155">
        <f t="shared" ca="1" si="69"/>
        <v>557</v>
      </c>
      <c r="E565" s="209">
        <f t="shared" ca="1" si="64"/>
        <v>5</v>
      </c>
      <c r="F565" s="10">
        <f t="shared" ca="1" si="70"/>
        <v>63235</v>
      </c>
      <c r="G565" s="156">
        <f t="shared" ca="1" si="71"/>
        <v>1920103.1312664575</v>
      </c>
      <c r="H565" s="156">
        <f ca="1">SUM($G$8:G565)*gamma</f>
        <v>8735446.1543270182</v>
      </c>
      <c r="I565" s="23">
        <f ca="1">MAX(0,ROUND($I$7-$H$7-H565-SUM($G$8:G565),0))</f>
        <v>0</v>
      </c>
      <c r="J565" s="208">
        <f t="shared" ca="1" si="65"/>
        <v>557</v>
      </c>
    </row>
    <row r="566" spans="1:10" ht="15.75" customHeight="1" thickBot="1">
      <c r="A566" s="237">
        <f t="shared" ca="1" si="66"/>
        <v>63263</v>
      </c>
      <c r="B566" s="238">
        <f t="shared" ca="1" si="67"/>
        <v>1920103</v>
      </c>
      <c r="C566" s="238">
        <f t="shared" ca="1" si="68"/>
        <v>0</v>
      </c>
      <c r="D566" s="155">
        <f t="shared" ca="1" si="69"/>
        <v>558</v>
      </c>
      <c r="E566" s="209">
        <f t="shared" ca="1" si="64"/>
        <v>6</v>
      </c>
      <c r="F566" s="10">
        <f t="shared" ca="1" si="70"/>
        <v>63263</v>
      </c>
      <c r="G566" s="156">
        <f t="shared" ca="1" si="71"/>
        <v>1920103.1312664575</v>
      </c>
      <c r="H566" s="156">
        <f ca="1">SUM($G$8:G566)*gamma</f>
        <v>8793049.2482650112</v>
      </c>
      <c r="I566" s="23">
        <f ca="1">MAX(0,ROUND($I$7-$H$7-H566-SUM($G$8:G566),0))</f>
        <v>0</v>
      </c>
      <c r="J566" s="208">
        <f t="shared" ca="1" si="65"/>
        <v>558</v>
      </c>
    </row>
    <row r="567" spans="1:10" ht="15.75" customHeight="1" thickBot="1">
      <c r="A567" s="237">
        <f t="shared" ca="1" si="66"/>
        <v>63294</v>
      </c>
      <c r="B567" s="238">
        <f t="shared" ca="1" si="67"/>
        <v>1920103</v>
      </c>
      <c r="C567" s="238">
        <f t="shared" ca="1" si="68"/>
        <v>0</v>
      </c>
      <c r="D567" s="155">
        <f t="shared" ca="1" si="69"/>
        <v>559</v>
      </c>
      <c r="E567" s="209">
        <f t="shared" ca="1" si="64"/>
        <v>7</v>
      </c>
      <c r="F567" s="10">
        <f t="shared" ca="1" si="70"/>
        <v>63294</v>
      </c>
      <c r="G567" s="156">
        <f t="shared" ca="1" si="71"/>
        <v>1920103.1312664575</v>
      </c>
      <c r="H567" s="156">
        <f ca="1">SUM($G$8:G567)*gamma</f>
        <v>8850652.3422030061</v>
      </c>
      <c r="I567" s="23">
        <f ca="1">MAX(0,ROUND($I$7-$H$7-H567-SUM($G$8:G567),0))</f>
        <v>0</v>
      </c>
      <c r="J567" s="208">
        <f t="shared" ca="1" si="65"/>
        <v>559</v>
      </c>
    </row>
    <row r="568" spans="1:10" ht="15.75" customHeight="1" thickBot="1">
      <c r="A568" s="237">
        <f t="shared" ca="1" si="66"/>
        <v>63324</v>
      </c>
      <c r="B568" s="238">
        <f t="shared" ca="1" si="67"/>
        <v>1920103</v>
      </c>
      <c r="C568" s="238">
        <f t="shared" ca="1" si="68"/>
        <v>0</v>
      </c>
      <c r="D568" s="155">
        <f t="shared" ca="1" si="69"/>
        <v>560</v>
      </c>
      <c r="E568" s="209">
        <f t="shared" ca="1" si="64"/>
        <v>8</v>
      </c>
      <c r="F568" s="10">
        <f t="shared" ca="1" si="70"/>
        <v>63324</v>
      </c>
      <c r="G568" s="156">
        <f t="shared" ca="1" si="71"/>
        <v>1920103.1312664575</v>
      </c>
      <c r="H568" s="156">
        <f ca="1">SUM($G$8:G568)*gamma</f>
        <v>8908255.4361409992</v>
      </c>
      <c r="I568" s="23">
        <f ca="1">MAX(0,ROUND($I$7-$H$7-H568-SUM($G$8:G568),0))</f>
        <v>0</v>
      </c>
      <c r="J568" s="208">
        <f t="shared" ca="1" si="65"/>
        <v>560</v>
      </c>
    </row>
    <row r="569" spans="1:10" ht="15.75" customHeight="1" thickBot="1">
      <c r="A569" s="237">
        <f t="shared" ca="1" si="66"/>
        <v>63355</v>
      </c>
      <c r="B569" s="238">
        <f t="shared" ca="1" si="67"/>
        <v>1920103</v>
      </c>
      <c r="C569" s="238">
        <f t="shared" ca="1" si="68"/>
        <v>0</v>
      </c>
      <c r="D569" s="155">
        <f t="shared" ca="1" si="69"/>
        <v>561</v>
      </c>
      <c r="E569" s="209">
        <f t="shared" ca="1" si="64"/>
        <v>9</v>
      </c>
      <c r="F569" s="10">
        <f t="shared" ca="1" si="70"/>
        <v>63355</v>
      </c>
      <c r="G569" s="156">
        <f t="shared" ca="1" si="71"/>
        <v>1920103.1312664575</v>
      </c>
      <c r="H569" s="156">
        <f ca="1">SUM($G$8:G569)*gamma</f>
        <v>8965858.5300789941</v>
      </c>
      <c r="I569" s="23">
        <f ca="1">MAX(0,ROUND($I$7-$H$7-H569-SUM($G$8:G569),0))</f>
        <v>0</v>
      </c>
      <c r="J569" s="208">
        <f t="shared" ca="1" si="65"/>
        <v>561</v>
      </c>
    </row>
    <row r="570" spans="1:10" ht="15.75" customHeight="1" thickBot="1">
      <c r="A570" s="237">
        <f t="shared" ca="1" si="66"/>
        <v>63385</v>
      </c>
      <c r="B570" s="238">
        <f t="shared" ca="1" si="67"/>
        <v>1920103</v>
      </c>
      <c r="C570" s="238">
        <f t="shared" ca="1" si="68"/>
        <v>0</v>
      </c>
      <c r="D570" s="155">
        <f t="shared" ca="1" si="69"/>
        <v>562</v>
      </c>
      <c r="E570" s="209">
        <f t="shared" ca="1" si="64"/>
        <v>10</v>
      </c>
      <c r="F570" s="10">
        <f t="shared" ca="1" si="70"/>
        <v>63385</v>
      </c>
      <c r="G570" s="156">
        <f t="shared" ca="1" si="71"/>
        <v>1920103.1312664575</v>
      </c>
      <c r="H570" s="156">
        <f ca="1">SUM($G$8:G570)*gamma</f>
        <v>9023461.624016989</v>
      </c>
      <c r="I570" s="23">
        <f ca="1">MAX(0,ROUND($I$7-$H$7-H570-SUM($G$8:G570),0))</f>
        <v>0</v>
      </c>
      <c r="J570" s="208">
        <f t="shared" ca="1" si="65"/>
        <v>562</v>
      </c>
    </row>
    <row r="571" spans="1:10" ht="15.75" customHeight="1" thickBot="1">
      <c r="A571" s="237">
        <f t="shared" ca="1" si="66"/>
        <v>63416</v>
      </c>
      <c r="B571" s="238">
        <f t="shared" ca="1" si="67"/>
        <v>1920103</v>
      </c>
      <c r="C571" s="238">
        <f t="shared" ca="1" si="68"/>
        <v>0</v>
      </c>
      <c r="D571" s="155">
        <f t="shared" ca="1" si="69"/>
        <v>563</v>
      </c>
      <c r="E571" s="209">
        <f t="shared" ca="1" si="64"/>
        <v>11</v>
      </c>
      <c r="F571" s="10">
        <f t="shared" ca="1" si="70"/>
        <v>63416</v>
      </c>
      <c r="G571" s="156">
        <f t="shared" ca="1" si="71"/>
        <v>1920103.1312664575</v>
      </c>
      <c r="H571" s="156">
        <f ca="1">SUM($G$8:G571)*gamma</f>
        <v>9081064.7179549821</v>
      </c>
      <c r="I571" s="23">
        <f ca="1">MAX(0,ROUND($I$7-$H$7-H571-SUM($G$8:G571),0))</f>
        <v>0</v>
      </c>
      <c r="J571" s="208">
        <f t="shared" ca="1" si="65"/>
        <v>563</v>
      </c>
    </row>
    <row r="572" spans="1:10" ht="15.75" customHeight="1" thickBot="1">
      <c r="A572" s="237">
        <f t="shared" ca="1" si="66"/>
        <v>63447</v>
      </c>
      <c r="B572" s="238">
        <f t="shared" ca="1" si="67"/>
        <v>2073711</v>
      </c>
      <c r="C572" s="238">
        <f t="shared" ca="1" si="68"/>
        <v>0</v>
      </c>
      <c r="D572" s="155">
        <f t="shared" ca="1" si="69"/>
        <v>564</v>
      </c>
      <c r="E572" s="209">
        <f t="shared" ca="1" si="64"/>
        <v>0</v>
      </c>
      <c r="F572" s="10">
        <f t="shared" ca="1" si="70"/>
        <v>63447</v>
      </c>
      <c r="G572" s="156">
        <f t="shared" ca="1" si="71"/>
        <v>2073711.3817677742</v>
      </c>
      <c r="H572" s="156">
        <f ca="1">SUM($G$8:G572)*gamma</f>
        <v>9143276.0594080146</v>
      </c>
      <c r="I572" s="23">
        <f ca="1">MAX(0,ROUND($I$7-$H$7-H572-SUM($G$8:G572),0))</f>
        <v>0</v>
      </c>
      <c r="J572" s="208">
        <f t="shared" ca="1" si="65"/>
        <v>564</v>
      </c>
    </row>
    <row r="573" spans="1:10" ht="15.75" customHeight="1" thickBot="1">
      <c r="A573" s="237">
        <f t="shared" ca="1" si="66"/>
        <v>63477</v>
      </c>
      <c r="B573" s="238">
        <f t="shared" ca="1" si="67"/>
        <v>2073711</v>
      </c>
      <c r="C573" s="238">
        <f t="shared" ca="1" si="68"/>
        <v>0</v>
      </c>
      <c r="D573" s="155">
        <f t="shared" ca="1" si="69"/>
        <v>565</v>
      </c>
      <c r="E573" s="209">
        <f t="shared" ca="1" si="64"/>
        <v>1</v>
      </c>
      <c r="F573" s="10">
        <f t="shared" ca="1" si="70"/>
        <v>63477</v>
      </c>
      <c r="G573" s="156">
        <f t="shared" ca="1" si="71"/>
        <v>2073711.3817677742</v>
      </c>
      <c r="H573" s="156">
        <f ca="1">SUM($G$8:G573)*gamma</f>
        <v>9205487.4008610472</v>
      </c>
      <c r="I573" s="23">
        <f ca="1">MAX(0,ROUND($I$7-$H$7-H573-SUM($G$8:G573),0))</f>
        <v>0</v>
      </c>
      <c r="J573" s="208">
        <f t="shared" ca="1" si="65"/>
        <v>565</v>
      </c>
    </row>
    <row r="574" spans="1:10" ht="15.75" customHeight="1" thickBot="1">
      <c r="A574" s="237">
        <f t="shared" ca="1" si="66"/>
        <v>63508</v>
      </c>
      <c r="B574" s="238">
        <f t="shared" ca="1" si="67"/>
        <v>2073711</v>
      </c>
      <c r="C574" s="238">
        <f t="shared" ca="1" si="68"/>
        <v>0</v>
      </c>
      <c r="D574" s="155">
        <f t="shared" ca="1" si="69"/>
        <v>566</v>
      </c>
      <c r="E574" s="209">
        <f t="shared" ca="1" si="64"/>
        <v>2</v>
      </c>
      <c r="F574" s="10">
        <f t="shared" ca="1" si="70"/>
        <v>63508</v>
      </c>
      <c r="G574" s="156">
        <f t="shared" ca="1" si="71"/>
        <v>2073711.3817677742</v>
      </c>
      <c r="H574" s="156">
        <f ca="1">SUM($G$8:G574)*gamma</f>
        <v>9267698.7423140798</v>
      </c>
      <c r="I574" s="23">
        <f ca="1">MAX(0,ROUND($I$7-$H$7-H574-SUM($G$8:G574),0))</f>
        <v>0</v>
      </c>
      <c r="J574" s="208">
        <f t="shared" ca="1" si="65"/>
        <v>566</v>
      </c>
    </row>
    <row r="575" spans="1:10" ht="15.75" customHeight="1" thickBot="1">
      <c r="A575" s="237">
        <f t="shared" ca="1" si="66"/>
        <v>63538</v>
      </c>
      <c r="B575" s="238">
        <f t="shared" ca="1" si="67"/>
        <v>2073711</v>
      </c>
      <c r="C575" s="238">
        <f t="shared" ca="1" si="68"/>
        <v>0</v>
      </c>
      <c r="D575" s="155">
        <f t="shared" ca="1" si="69"/>
        <v>567</v>
      </c>
      <c r="E575" s="209">
        <f t="shared" ca="1" si="64"/>
        <v>3</v>
      </c>
      <c r="F575" s="10">
        <f t="shared" ca="1" si="70"/>
        <v>63538</v>
      </c>
      <c r="G575" s="156">
        <f t="shared" ca="1" si="71"/>
        <v>2073711.3817677742</v>
      </c>
      <c r="H575" s="156">
        <f ca="1">SUM($G$8:G575)*gamma</f>
        <v>9329910.0837671123</v>
      </c>
      <c r="I575" s="23">
        <f ca="1">MAX(0,ROUND($I$7-$H$7-H575-SUM($G$8:G575),0))</f>
        <v>0</v>
      </c>
      <c r="J575" s="208">
        <f t="shared" ca="1" si="65"/>
        <v>567</v>
      </c>
    </row>
    <row r="576" spans="1:10" ht="15.75" customHeight="1" thickBot="1">
      <c r="A576" s="237">
        <f t="shared" ca="1" si="66"/>
        <v>63569</v>
      </c>
      <c r="B576" s="238">
        <f t="shared" ca="1" si="67"/>
        <v>2073711</v>
      </c>
      <c r="C576" s="238">
        <f t="shared" ca="1" si="68"/>
        <v>0</v>
      </c>
      <c r="D576" s="155">
        <f t="shared" ca="1" si="69"/>
        <v>568</v>
      </c>
      <c r="E576" s="209">
        <f t="shared" ca="1" si="64"/>
        <v>4</v>
      </c>
      <c r="F576" s="10">
        <f t="shared" ca="1" si="70"/>
        <v>63569</v>
      </c>
      <c r="G576" s="156">
        <f t="shared" ca="1" si="71"/>
        <v>2073711.3817677742</v>
      </c>
      <c r="H576" s="156">
        <f ca="1">SUM($G$8:G576)*gamma</f>
        <v>9392121.4252201449</v>
      </c>
      <c r="I576" s="23">
        <f ca="1">MAX(0,ROUND($I$7-$H$7-H576-SUM($G$8:G576),0))</f>
        <v>0</v>
      </c>
      <c r="J576" s="208">
        <f t="shared" ca="1" si="65"/>
        <v>568</v>
      </c>
    </row>
    <row r="577" spans="1:10" ht="15.75" customHeight="1" thickBot="1">
      <c r="A577" s="237">
        <f t="shared" ca="1" si="66"/>
        <v>63600</v>
      </c>
      <c r="B577" s="238">
        <f t="shared" ca="1" si="67"/>
        <v>2073711</v>
      </c>
      <c r="C577" s="238">
        <f t="shared" ca="1" si="68"/>
        <v>0</v>
      </c>
      <c r="D577" s="155">
        <f t="shared" ca="1" si="69"/>
        <v>569</v>
      </c>
      <c r="E577" s="209">
        <f t="shared" ca="1" si="64"/>
        <v>5</v>
      </c>
      <c r="F577" s="10">
        <f t="shared" ca="1" si="70"/>
        <v>63600</v>
      </c>
      <c r="G577" s="156">
        <f t="shared" ca="1" si="71"/>
        <v>2073711.3817677742</v>
      </c>
      <c r="H577" s="156">
        <f ca="1">SUM($G$8:G577)*gamma</f>
        <v>9454332.7666731775</v>
      </c>
      <c r="I577" s="23">
        <f ca="1">MAX(0,ROUND($I$7-$H$7-H577-SUM($G$8:G577),0))</f>
        <v>0</v>
      </c>
      <c r="J577" s="208">
        <f t="shared" ca="1" si="65"/>
        <v>569</v>
      </c>
    </row>
    <row r="578" spans="1:10" ht="15.75" customHeight="1" thickBot="1">
      <c r="A578" s="237">
        <f t="shared" ca="1" si="66"/>
        <v>63628</v>
      </c>
      <c r="B578" s="238">
        <f t="shared" ca="1" si="67"/>
        <v>2073711</v>
      </c>
      <c r="C578" s="238">
        <f t="shared" ca="1" si="68"/>
        <v>0</v>
      </c>
      <c r="D578" s="155">
        <f t="shared" ca="1" si="69"/>
        <v>570</v>
      </c>
      <c r="E578" s="209">
        <f t="shared" ca="1" si="64"/>
        <v>6</v>
      </c>
      <c r="F578" s="10">
        <f t="shared" ca="1" si="70"/>
        <v>63628</v>
      </c>
      <c r="G578" s="156">
        <f t="shared" ca="1" si="71"/>
        <v>2073711.3817677742</v>
      </c>
      <c r="H578" s="156">
        <f ca="1">SUM($G$8:G578)*gamma</f>
        <v>9516544.10812621</v>
      </c>
      <c r="I578" s="23">
        <f ca="1">MAX(0,ROUND($I$7-$H$7-H578-SUM($G$8:G578),0))</f>
        <v>0</v>
      </c>
      <c r="J578" s="208">
        <f t="shared" ca="1" si="65"/>
        <v>570</v>
      </c>
    </row>
    <row r="579" spans="1:10" ht="15.75" customHeight="1" thickBot="1">
      <c r="A579" s="237">
        <f t="shared" ca="1" si="66"/>
        <v>63659</v>
      </c>
      <c r="B579" s="238">
        <f t="shared" ca="1" si="67"/>
        <v>2073711</v>
      </c>
      <c r="C579" s="238">
        <f t="shared" ca="1" si="68"/>
        <v>0</v>
      </c>
      <c r="D579" s="155">
        <f t="shared" ca="1" si="69"/>
        <v>571</v>
      </c>
      <c r="E579" s="209">
        <f t="shared" ca="1" si="64"/>
        <v>7</v>
      </c>
      <c r="F579" s="10">
        <f t="shared" ca="1" si="70"/>
        <v>63659</v>
      </c>
      <c r="G579" s="156">
        <f t="shared" ca="1" si="71"/>
        <v>2073711.3817677742</v>
      </c>
      <c r="H579" s="156">
        <f ca="1">SUM($G$8:G579)*gamma</f>
        <v>9578755.4495792426</v>
      </c>
      <c r="I579" s="23">
        <f ca="1">MAX(0,ROUND($I$7-$H$7-H579-SUM($G$8:G579),0))</f>
        <v>0</v>
      </c>
      <c r="J579" s="208">
        <f t="shared" ca="1" si="65"/>
        <v>571</v>
      </c>
    </row>
    <row r="580" spans="1:10" ht="15.75" customHeight="1" thickBot="1">
      <c r="A580" s="237">
        <f t="shared" ca="1" si="66"/>
        <v>63689</v>
      </c>
      <c r="B580" s="238">
        <f t="shared" ca="1" si="67"/>
        <v>2073711</v>
      </c>
      <c r="C580" s="238">
        <f t="shared" ca="1" si="68"/>
        <v>0</v>
      </c>
      <c r="D580" s="155">
        <f t="shared" ca="1" si="69"/>
        <v>572</v>
      </c>
      <c r="E580" s="209">
        <f t="shared" ca="1" si="64"/>
        <v>8</v>
      </c>
      <c r="F580" s="10">
        <f t="shared" ca="1" si="70"/>
        <v>63689</v>
      </c>
      <c r="G580" s="156">
        <f t="shared" ca="1" si="71"/>
        <v>2073711.3817677742</v>
      </c>
      <c r="H580" s="156">
        <f ca="1">SUM($G$8:G580)*gamma</f>
        <v>9640966.7910322752</v>
      </c>
      <c r="I580" s="23">
        <f ca="1">MAX(0,ROUND($I$7-$H$7-H580-SUM($G$8:G580),0))</f>
        <v>0</v>
      </c>
      <c r="J580" s="208">
        <f t="shared" ca="1" si="65"/>
        <v>572</v>
      </c>
    </row>
    <row r="581" spans="1:10" ht="15.75" customHeight="1" thickBot="1">
      <c r="A581" s="237">
        <f t="shared" ca="1" si="66"/>
        <v>63720</v>
      </c>
      <c r="B581" s="238">
        <f t="shared" ca="1" si="67"/>
        <v>2073711</v>
      </c>
      <c r="C581" s="238">
        <f t="shared" ca="1" si="68"/>
        <v>0</v>
      </c>
      <c r="D581" s="155">
        <f t="shared" ca="1" si="69"/>
        <v>573</v>
      </c>
      <c r="E581" s="209">
        <f t="shared" ca="1" si="64"/>
        <v>9</v>
      </c>
      <c r="F581" s="10">
        <f t="shared" ca="1" si="70"/>
        <v>63720</v>
      </c>
      <c r="G581" s="156">
        <f t="shared" ca="1" si="71"/>
        <v>2073711.3817677742</v>
      </c>
      <c r="H581" s="156">
        <f ca="1">SUM($G$8:G581)*gamma</f>
        <v>9703178.1324853078</v>
      </c>
      <c r="I581" s="23">
        <f ca="1">MAX(0,ROUND($I$7-$H$7-H581-SUM($G$8:G581),0))</f>
        <v>0</v>
      </c>
      <c r="J581" s="208">
        <f t="shared" ca="1" si="65"/>
        <v>573</v>
      </c>
    </row>
    <row r="582" spans="1:10" ht="15.75" customHeight="1" thickBot="1">
      <c r="A582" s="237">
        <f t="shared" ca="1" si="66"/>
        <v>63750</v>
      </c>
      <c r="B582" s="238">
        <f t="shared" ca="1" si="67"/>
        <v>2073711</v>
      </c>
      <c r="C582" s="238">
        <f t="shared" ca="1" si="68"/>
        <v>0</v>
      </c>
      <c r="D582" s="155">
        <f t="shared" ca="1" si="69"/>
        <v>574</v>
      </c>
      <c r="E582" s="209">
        <f t="shared" ca="1" si="64"/>
        <v>10</v>
      </c>
      <c r="F582" s="10">
        <f t="shared" ca="1" si="70"/>
        <v>63750</v>
      </c>
      <c r="G582" s="156">
        <f t="shared" ca="1" si="71"/>
        <v>2073711.3817677742</v>
      </c>
      <c r="H582" s="156">
        <f ca="1">SUM($G$8:G582)*gamma</f>
        <v>9765389.4739383403</v>
      </c>
      <c r="I582" s="23">
        <f ca="1">MAX(0,ROUND($I$7-$H$7-H582-SUM($G$8:G582),0))</f>
        <v>0</v>
      </c>
      <c r="J582" s="208">
        <f t="shared" ca="1" si="65"/>
        <v>574</v>
      </c>
    </row>
    <row r="583" spans="1:10" ht="15.75" customHeight="1" thickBot="1">
      <c r="A583" s="237">
        <f t="shared" ca="1" si="66"/>
        <v>63781</v>
      </c>
      <c r="B583" s="238">
        <f t="shared" ca="1" si="67"/>
        <v>2073711</v>
      </c>
      <c r="C583" s="238">
        <f t="shared" ca="1" si="68"/>
        <v>0</v>
      </c>
      <c r="D583" s="155">
        <f t="shared" ca="1" si="69"/>
        <v>575</v>
      </c>
      <c r="E583" s="209">
        <f t="shared" ca="1" si="64"/>
        <v>11</v>
      </c>
      <c r="F583" s="10">
        <f t="shared" ca="1" si="70"/>
        <v>63781</v>
      </c>
      <c r="G583" s="156">
        <f t="shared" ca="1" si="71"/>
        <v>2073711.3817677742</v>
      </c>
      <c r="H583" s="156">
        <f ca="1">SUM($G$8:G583)*gamma</f>
        <v>9827600.8153913729</v>
      </c>
      <c r="I583" s="23">
        <f ca="1">MAX(0,ROUND($I$7-$H$7-H583-SUM($G$8:G583),0))</f>
        <v>0</v>
      </c>
      <c r="J583" s="208">
        <f t="shared" ca="1" si="65"/>
        <v>575</v>
      </c>
    </row>
    <row r="584" spans="1:10" ht="15.75" customHeight="1" thickBot="1">
      <c r="A584" s="237">
        <f t="shared" ca="1" si="66"/>
        <v>63812</v>
      </c>
      <c r="B584" s="238">
        <f t="shared" ca="1" si="67"/>
        <v>2239608</v>
      </c>
      <c r="C584" s="238">
        <f t="shared" ca="1" si="68"/>
        <v>0</v>
      </c>
      <c r="D584" s="155">
        <f t="shared" ca="1" si="69"/>
        <v>576</v>
      </c>
      <c r="E584" s="209">
        <f t="shared" ref="E584:E647" ca="1" si="72">MOD(J584,12)</f>
        <v>0</v>
      </c>
      <c r="F584" s="10">
        <f t="shared" ca="1" si="70"/>
        <v>63812</v>
      </c>
      <c r="G584" s="156">
        <f t="shared" ca="1" si="71"/>
        <v>2239608.2923091962</v>
      </c>
      <c r="H584" s="156">
        <f ca="1">SUM($G$8:G584)*gamma</f>
        <v>9894789.0641606487</v>
      </c>
      <c r="I584" s="23">
        <f ca="1">MAX(0,ROUND($I$7-$H$7-H584-SUM($G$8:G584),0))</f>
        <v>0</v>
      </c>
      <c r="J584" s="208">
        <f t="shared" ref="J584:J647" ca="1" si="73">IF(G583&gt;0,1+J583,0)</f>
        <v>576</v>
      </c>
    </row>
    <row r="585" spans="1:10" ht="15.75" customHeight="1" thickBot="1">
      <c r="A585" s="237">
        <f t="shared" ref="A585:A648" ca="1" si="74">IF(d_plast&gt;=F585,F585,"")</f>
        <v>63842</v>
      </c>
      <c r="B585" s="238">
        <f t="shared" ref="B585:B648" ca="1" si="75">IF(A585="","",ROUND(G585,0))</f>
        <v>2239608</v>
      </c>
      <c r="C585" s="238">
        <f t="shared" ref="C585:C648" ca="1" si="76">IF(A585&lt;&gt;"",IF(end=2,IF(D585&lt;24,0,I585),I585),"")</f>
        <v>0</v>
      </c>
      <c r="D585" s="155">
        <f t="shared" ref="D585:D648" ca="1" si="77">D584+freq_2</f>
        <v>577</v>
      </c>
      <c r="E585" s="209">
        <f t="shared" ca="1" si="72"/>
        <v>1</v>
      </c>
      <c r="F585" s="10">
        <f t="shared" ref="F585:F648" ca="1" si="78">EDATE($F$8,D585)</f>
        <v>63842</v>
      </c>
      <c r="G585" s="156">
        <f t="shared" ref="G585:G648" ca="1" si="79">IF(A585&lt;d_begin,0,IF(G584=0,Ben,IF(E585=0,G584*(1+index),G584)))</f>
        <v>2239608.2923091962</v>
      </c>
      <c r="H585" s="156">
        <f ca="1">SUM($G$8:G585)*gamma</f>
        <v>9961977.3129299264</v>
      </c>
      <c r="I585" s="23">
        <f ca="1">MAX(0,ROUND($I$7-$H$7-H585-SUM($G$8:G585),0))</f>
        <v>0</v>
      </c>
      <c r="J585" s="208">
        <f t="shared" ca="1" si="73"/>
        <v>577</v>
      </c>
    </row>
    <row r="586" spans="1:10" ht="15.75" customHeight="1" thickBot="1">
      <c r="A586" s="237">
        <f t="shared" ca="1" si="74"/>
        <v>63873</v>
      </c>
      <c r="B586" s="238">
        <f t="shared" ca="1" si="75"/>
        <v>2239608</v>
      </c>
      <c r="C586" s="238">
        <f t="shared" ca="1" si="76"/>
        <v>0</v>
      </c>
      <c r="D586" s="155">
        <f t="shared" ca="1" si="77"/>
        <v>578</v>
      </c>
      <c r="E586" s="209">
        <f t="shared" ca="1" si="72"/>
        <v>2</v>
      </c>
      <c r="F586" s="10">
        <f t="shared" ca="1" si="78"/>
        <v>63873</v>
      </c>
      <c r="G586" s="156">
        <f t="shared" ca="1" si="79"/>
        <v>2239608.2923091962</v>
      </c>
      <c r="H586" s="156">
        <f ca="1">SUM($G$8:G586)*gamma</f>
        <v>10029165.561699202</v>
      </c>
      <c r="I586" s="23">
        <f ca="1">MAX(0,ROUND($I$7-$H$7-H586-SUM($G$8:G586),0))</f>
        <v>0</v>
      </c>
      <c r="J586" s="208">
        <f t="shared" ca="1" si="73"/>
        <v>578</v>
      </c>
    </row>
    <row r="587" spans="1:10" ht="15.75" customHeight="1" thickBot="1">
      <c r="A587" s="237">
        <f t="shared" ca="1" si="74"/>
        <v>63903</v>
      </c>
      <c r="B587" s="238">
        <f t="shared" ca="1" si="75"/>
        <v>2239608</v>
      </c>
      <c r="C587" s="238">
        <f t="shared" ca="1" si="76"/>
        <v>0</v>
      </c>
      <c r="D587" s="155">
        <f t="shared" ca="1" si="77"/>
        <v>579</v>
      </c>
      <c r="E587" s="209">
        <f t="shared" ca="1" si="72"/>
        <v>3</v>
      </c>
      <c r="F587" s="10">
        <f t="shared" ca="1" si="78"/>
        <v>63903</v>
      </c>
      <c r="G587" s="156">
        <f t="shared" ca="1" si="79"/>
        <v>2239608.2923091962</v>
      </c>
      <c r="H587" s="156">
        <f ca="1">SUM($G$8:G587)*gamma</f>
        <v>10096353.81046848</v>
      </c>
      <c r="I587" s="23">
        <f ca="1">MAX(0,ROUND($I$7-$H$7-H587-SUM($G$8:G587),0))</f>
        <v>0</v>
      </c>
      <c r="J587" s="208">
        <f t="shared" ca="1" si="73"/>
        <v>579</v>
      </c>
    </row>
    <row r="588" spans="1:10" ht="15.75" customHeight="1" thickBot="1">
      <c r="A588" s="237">
        <f t="shared" ca="1" si="74"/>
        <v>63934</v>
      </c>
      <c r="B588" s="238">
        <f t="shared" ca="1" si="75"/>
        <v>2239608</v>
      </c>
      <c r="C588" s="238">
        <f t="shared" ca="1" si="76"/>
        <v>0</v>
      </c>
      <c r="D588" s="155">
        <f t="shared" ca="1" si="77"/>
        <v>580</v>
      </c>
      <c r="E588" s="209">
        <f t="shared" ca="1" si="72"/>
        <v>4</v>
      </c>
      <c r="F588" s="10">
        <f t="shared" ca="1" si="78"/>
        <v>63934</v>
      </c>
      <c r="G588" s="156">
        <f t="shared" ca="1" si="79"/>
        <v>2239608.2923091962</v>
      </c>
      <c r="H588" s="156">
        <f ca="1">SUM($G$8:G588)*gamma</f>
        <v>10163542.059237756</v>
      </c>
      <c r="I588" s="23">
        <f ca="1">MAX(0,ROUND($I$7-$H$7-H588-SUM($G$8:G588),0))</f>
        <v>0</v>
      </c>
      <c r="J588" s="208">
        <f t="shared" ca="1" si="73"/>
        <v>580</v>
      </c>
    </row>
    <row r="589" spans="1:10" ht="15.75" customHeight="1" thickBot="1">
      <c r="A589" s="237">
        <f t="shared" ca="1" si="74"/>
        <v>63965</v>
      </c>
      <c r="B589" s="238">
        <f t="shared" ca="1" si="75"/>
        <v>2239608</v>
      </c>
      <c r="C589" s="238">
        <f t="shared" ca="1" si="76"/>
        <v>0</v>
      </c>
      <c r="D589" s="155">
        <f t="shared" ca="1" si="77"/>
        <v>581</v>
      </c>
      <c r="E589" s="209">
        <f t="shared" ca="1" si="72"/>
        <v>5</v>
      </c>
      <c r="F589" s="10">
        <f t="shared" ca="1" si="78"/>
        <v>63965</v>
      </c>
      <c r="G589" s="156">
        <f t="shared" ca="1" si="79"/>
        <v>2239608.2923091962</v>
      </c>
      <c r="H589" s="156">
        <f ca="1">SUM($G$8:G589)*gamma</f>
        <v>10230730.308007034</v>
      </c>
      <c r="I589" s="23">
        <f ca="1">MAX(0,ROUND($I$7-$H$7-H589-SUM($G$8:G589),0))</f>
        <v>0</v>
      </c>
      <c r="J589" s="208">
        <f t="shared" ca="1" si="73"/>
        <v>581</v>
      </c>
    </row>
    <row r="590" spans="1:10" ht="15.75" customHeight="1" thickBot="1">
      <c r="A590" s="237">
        <f t="shared" ca="1" si="74"/>
        <v>63993</v>
      </c>
      <c r="B590" s="238">
        <f t="shared" ca="1" si="75"/>
        <v>2239608</v>
      </c>
      <c r="C590" s="238">
        <f t="shared" ca="1" si="76"/>
        <v>0</v>
      </c>
      <c r="D590" s="155">
        <f t="shared" ca="1" si="77"/>
        <v>582</v>
      </c>
      <c r="E590" s="209">
        <f t="shared" ca="1" si="72"/>
        <v>6</v>
      </c>
      <c r="F590" s="10">
        <f t="shared" ca="1" si="78"/>
        <v>63993</v>
      </c>
      <c r="G590" s="156">
        <f t="shared" ca="1" si="79"/>
        <v>2239608.2923091962</v>
      </c>
      <c r="H590" s="156">
        <f ca="1">SUM($G$8:G590)*gamma</f>
        <v>10297918.556776309</v>
      </c>
      <c r="I590" s="23">
        <f ca="1">MAX(0,ROUND($I$7-$H$7-H590-SUM($G$8:G590),0))</f>
        <v>0</v>
      </c>
      <c r="J590" s="208">
        <f t="shared" ca="1" si="73"/>
        <v>582</v>
      </c>
    </row>
    <row r="591" spans="1:10" ht="15.75" customHeight="1" thickBot="1">
      <c r="A591" s="237">
        <f t="shared" ca="1" si="74"/>
        <v>64024</v>
      </c>
      <c r="B591" s="238">
        <f t="shared" ca="1" si="75"/>
        <v>2239608</v>
      </c>
      <c r="C591" s="238">
        <f t="shared" ca="1" si="76"/>
        <v>0</v>
      </c>
      <c r="D591" s="155">
        <f t="shared" ca="1" si="77"/>
        <v>583</v>
      </c>
      <c r="E591" s="209">
        <f t="shared" ca="1" si="72"/>
        <v>7</v>
      </c>
      <c r="F591" s="10">
        <f t="shared" ca="1" si="78"/>
        <v>64024</v>
      </c>
      <c r="G591" s="156">
        <f t="shared" ca="1" si="79"/>
        <v>2239608.2923091962</v>
      </c>
      <c r="H591" s="156">
        <f ca="1">SUM($G$8:G591)*gamma</f>
        <v>10365106.805545587</v>
      </c>
      <c r="I591" s="23">
        <f ca="1">MAX(0,ROUND($I$7-$H$7-H591-SUM($G$8:G591),0))</f>
        <v>0</v>
      </c>
      <c r="J591" s="208">
        <f t="shared" ca="1" si="73"/>
        <v>583</v>
      </c>
    </row>
    <row r="592" spans="1:10" ht="15.75" customHeight="1" thickBot="1">
      <c r="A592" s="237">
        <f t="shared" ca="1" si="74"/>
        <v>64054</v>
      </c>
      <c r="B592" s="238">
        <f t="shared" ca="1" si="75"/>
        <v>2239608</v>
      </c>
      <c r="C592" s="238">
        <f t="shared" ca="1" si="76"/>
        <v>0</v>
      </c>
      <c r="D592" s="155">
        <f t="shared" ca="1" si="77"/>
        <v>584</v>
      </c>
      <c r="E592" s="209">
        <f t="shared" ca="1" si="72"/>
        <v>8</v>
      </c>
      <c r="F592" s="10">
        <f t="shared" ca="1" si="78"/>
        <v>64054</v>
      </c>
      <c r="G592" s="156">
        <f t="shared" ca="1" si="79"/>
        <v>2239608.2923091962</v>
      </c>
      <c r="H592" s="156">
        <f ca="1">SUM($G$8:G592)*gamma</f>
        <v>10432295.054314863</v>
      </c>
      <c r="I592" s="23">
        <f ca="1">MAX(0,ROUND($I$7-$H$7-H592-SUM($G$8:G592),0))</f>
        <v>0</v>
      </c>
      <c r="J592" s="208">
        <f t="shared" ca="1" si="73"/>
        <v>584</v>
      </c>
    </row>
    <row r="593" spans="1:10" ht="15.75" customHeight="1" thickBot="1">
      <c r="A593" s="237">
        <f t="shared" ca="1" si="74"/>
        <v>64085</v>
      </c>
      <c r="B593" s="238">
        <f t="shared" ca="1" si="75"/>
        <v>2239608</v>
      </c>
      <c r="C593" s="238">
        <f t="shared" ca="1" si="76"/>
        <v>0</v>
      </c>
      <c r="D593" s="155">
        <f t="shared" ca="1" si="77"/>
        <v>585</v>
      </c>
      <c r="E593" s="209">
        <f t="shared" ca="1" si="72"/>
        <v>9</v>
      </c>
      <c r="F593" s="10">
        <f t="shared" ca="1" si="78"/>
        <v>64085</v>
      </c>
      <c r="G593" s="156">
        <f t="shared" ca="1" si="79"/>
        <v>2239608.2923091962</v>
      </c>
      <c r="H593" s="156">
        <f ca="1">SUM($G$8:G593)*gamma</f>
        <v>10499483.303084141</v>
      </c>
      <c r="I593" s="23">
        <f ca="1">MAX(0,ROUND($I$7-$H$7-H593-SUM($G$8:G593),0))</f>
        <v>0</v>
      </c>
      <c r="J593" s="208">
        <f t="shared" ca="1" si="73"/>
        <v>585</v>
      </c>
    </row>
    <row r="594" spans="1:10" ht="15.75" customHeight="1" thickBot="1">
      <c r="A594" s="237">
        <f t="shared" ca="1" si="74"/>
        <v>64115</v>
      </c>
      <c r="B594" s="238">
        <f t="shared" ca="1" si="75"/>
        <v>2239608</v>
      </c>
      <c r="C594" s="238">
        <f t="shared" ca="1" si="76"/>
        <v>0</v>
      </c>
      <c r="D594" s="155">
        <f t="shared" ca="1" si="77"/>
        <v>586</v>
      </c>
      <c r="E594" s="209">
        <f t="shared" ca="1" si="72"/>
        <v>10</v>
      </c>
      <c r="F594" s="10">
        <f t="shared" ca="1" si="78"/>
        <v>64115</v>
      </c>
      <c r="G594" s="156">
        <f t="shared" ca="1" si="79"/>
        <v>2239608.2923091962</v>
      </c>
      <c r="H594" s="156">
        <f ca="1">SUM($G$8:G594)*gamma</f>
        <v>10566671.551853416</v>
      </c>
      <c r="I594" s="23">
        <f ca="1">MAX(0,ROUND($I$7-$H$7-H594-SUM($G$8:G594),0))</f>
        <v>0</v>
      </c>
      <c r="J594" s="208">
        <f t="shared" ca="1" si="73"/>
        <v>586</v>
      </c>
    </row>
    <row r="595" spans="1:10" ht="15.75" customHeight="1" thickBot="1">
      <c r="A595" s="237">
        <f t="shared" ca="1" si="74"/>
        <v>64146</v>
      </c>
      <c r="B595" s="238">
        <f t="shared" ca="1" si="75"/>
        <v>2239608</v>
      </c>
      <c r="C595" s="238">
        <f t="shared" ca="1" si="76"/>
        <v>0</v>
      </c>
      <c r="D595" s="155">
        <f t="shared" ca="1" si="77"/>
        <v>587</v>
      </c>
      <c r="E595" s="209">
        <f t="shared" ca="1" si="72"/>
        <v>11</v>
      </c>
      <c r="F595" s="10">
        <f t="shared" ca="1" si="78"/>
        <v>64146</v>
      </c>
      <c r="G595" s="156">
        <f t="shared" ca="1" si="79"/>
        <v>2239608.2923091962</v>
      </c>
      <c r="H595" s="156">
        <f ca="1">SUM($G$8:G595)*gamma</f>
        <v>10633859.800622694</v>
      </c>
      <c r="I595" s="23">
        <f ca="1">MAX(0,ROUND($I$7-$H$7-H595-SUM($G$8:G595),0))</f>
        <v>0</v>
      </c>
      <c r="J595" s="208">
        <f t="shared" ca="1" si="73"/>
        <v>587</v>
      </c>
    </row>
    <row r="596" spans="1:10" ht="15.75" customHeight="1" thickBot="1">
      <c r="A596" s="237">
        <f t="shared" ca="1" si="74"/>
        <v>64177</v>
      </c>
      <c r="B596" s="238">
        <f t="shared" ca="1" si="75"/>
        <v>2418777</v>
      </c>
      <c r="C596" s="238">
        <f t="shared" ca="1" si="76"/>
        <v>0</v>
      </c>
      <c r="D596" s="155">
        <f t="shared" ca="1" si="77"/>
        <v>588</v>
      </c>
      <c r="E596" s="209">
        <f t="shared" ca="1" si="72"/>
        <v>0</v>
      </c>
      <c r="F596" s="10">
        <f t="shared" ca="1" si="78"/>
        <v>64177</v>
      </c>
      <c r="G596" s="156">
        <f t="shared" ca="1" si="79"/>
        <v>2418776.9556939323</v>
      </c>
      <c r="H596" s="156">
        <f ca="1">SUM($G$8:G596)*gamma</f>
        <v>10706423.109293513</v>
      </c>
      <c r="I596" s="23">
        <f ca="1">MAX(0,ROUND($I$7-$H$7-H596-SUM($G$8:G596),0))</f>
        <v>0</v>
      </c>
      <c r="J596" s="208">
        <f t="shared" ca="1" si="73"/>
        <v>588</v>
      </c>
    </row>
    <row r="597" spans="1:10" ht="15.75" customHeight="1" thickBot="1">
      <c r="A597" s="237">
        <f t="shared" ca="1" si="74"/>
        <v>64207</v>
      </c>
      <c r="B597" s="238">
        <f t="shared" ca="1" si="75"/>
        <v>2418777</v>
      </c>
      <c r="C597" s="238">
        <f t="shared" ca="1" si="76"/>
        <v>0</v>
      </c>
      <c r="D597" s="155">
        <f t="shared" ca="1" si="77"/>
        <v>589</v>
      </c>
      <c r="E597" s="209">
        <f t="shared" ca="1" si="72"/>
        <v>1</v>
      </c>
      <c r="F597" s="10">
        <f t="shared" ca="1" si="78"/>
        <v>64207</v>
      </c>
      <c r="G597" s="156">
        <f t="shared" ca="1" si="79"/>
        <v>2418776.9556939323</v>
      </c>
      <c r="H597" s="156">
        <f ca="1">SUM($G$8:G597)*gamma</f>
        <v>10778986.417964332</v>
      </c>
      <c r="I597" s="23">
        <f ca="1">MAX(0,ROUND($I$7-$H$7-H597-SUM($G$8:G597),0))</f>
        <v>0</v>
      </c>
      <c r="J597" s="208">
        <f t="shared" ca="1" si="73"/>
        <v>589</v>
      </c>
    </row>
    <row r="598" spans="1:10" ht="15.75" customHeight="1" thickBot="1">
      <c r="A598" s="237">
        <f t="shared" ca="1" si="74"/>
        <v>64238</v>
      </c>
      <c r="B598" s="238">
        <f t="shared" ca="1" si="75"/>
        <v>2418777</v>
      </c>
      <c r="C598" s="238">
        <f t="shared" ca="1" si="76"/>
        <v>0</v>
      </c>
      <c r="D598" s="155">
        <f t="shared" ca="1" si="77"/>
        <v>590</v>
      </c>
      <c r="E598" s="209">
        <f t="shared" ca="1" si="72"/>
        <v>2</v>
      </c>
      <c r="F598" s="10">
        <f t="shared" ca="1" si="78"/>
        <v>64238</v>
      </c>
      <c r="G598" s="156">
        <f t="shared" ca="1" si="79"/>
        <v>2418776.9556939323</v>
      </c>
      <c r="H598" s="156">
        <f ca="1">SUM($G$8:G598)*gamma</f>
        <v>10851549.726635151</v>
      </c>
      <c r="I598" s="23">
        <f ca="1">MAX(0,ROUND($I$7-$H$7-H598-SUM($G$8:G598),0))</f>
        <v>0</v>
      </c>
      <c r="J598" s="208">
        <f t="shared" ca="1" si="73"/>
        <v>590</v>
      </c>
    </row>
    <row r="599" spans="1:10" ht="15.75" customHeight="1" thickBot="1">
      <c r="A599" s="237">
        <f t="shared" ca="1" si="74"/>
        <v>64268</v>
      </c>
      <c r="B599" s="238">
        <f t="shared" ca="1" si="75"/>
        <v>2418777</v>
      </c>
      <c r="C599" s="238">
        <f t="shared" ca="1" si="76"/>
        <v>0</v>
      </c>
      <c r="D599" s="155">
        <f t="shared" ca="1" si="77"/>
        <v>591</v>
      </c>
      <c r="E599" s="209">
        <f t="shared" ca="1" si="72"/>
        <v>3</v>
      </c>
      <c r="F599" s="10">
        <f t="shared" ca="1" si="78"/>
        <v>64268</v>
      </c>
      <c r="G599" s="156">
        <f t="shared" ca="1" si="79"/>
        <v>2418776.9556939323</v>
      </c>
      <c r="H599" s="156">
        <f ca="1">SUM($G$8:G599)*gamma</f>
        <v>10924113.035305969</v>
      </c>
      <c r="I599" s="23">
        <f ca="1">MAX(0,ROUND($I$7-$H$7-H599-SUM($G$8:G599),0))</f>
        <v>0</v>
      </c>
      <c r="J599" s="208">
        <f t="shared" ca="1" si="73"/>
        <v>591</v>
      </c>
    </row>
    <row r="600" spans="1:10" ht="15.75" customHeight="1" thickBot="1">
      <c r="A600" s="237">
        <f t="shared" ca="1" si="74"/>
        <v>64299</v>
      </c>
      <c r="B600" s="238">
        <f t="shared" ca="1" si="75"/>
        <v>2418777</v>
      </c>
      <c r="C600" s="238">
        <f t="shared" ca="1" si="76"/>
        <v>0</v>
      </c>
      <c r="D600" s="155">
        <f t="shared" ca="1" si="77"/>
        <v>592</v>
      </c>
      <c r="E600" s="209">
        <f t="shared" ca="1" si="72"/>
        <v>4</v>
      </c>
      <c r="F600" s="10">
        <f t="shared" ca="1" si="78"/>
        <v>64299</v>
      </c>
      <c r="G600" s="156">
        <f t="shared" ca="1" si="79"/>
        <v>2418776.9556939323</v>
      </c>
      <c r="H600" s="156">
        <f ca="1">SUM($G$8:G600)*gamma</f>
        <v>10996676.343976788</v>
      </c>
      <c r="I600" s="23">
        <f ca="1">MAX(0,ROUND($I$7-$H$7-H600-SUM($G$8:G600),0))</f>
        <v>0</v>
      </c>
      <c r="J600" s="208">
        <f t="shared" ca="1" si="73"/>
        <v>592</v>
      </c>
    </row>
    <row r="601" spans="1:10" ht="15.75" customHeight="1" thickBot="1">
      <c r="A601" s="237">
        <f t="shared" ca="1" si="74"/>
        <v>64330</v>
      </c>
      <c r="B601" s="238">
        <f t="shared" ca="1" si="75"/>
        <v>2418777</v>
      </c>
      <c r="C601" s="238">
        <f t="shared" ca="1" si="76"/>
        <v>0</v>
      </c>
      <c r="D601" s="155">
        <f t="shared" ca="1" si="77"/>
        <v>593</v>
      </c>
      <c r="E601" s="209">
        <f t="shared" ca="1" si="72"/>
        <v>5</v>
      </c>
      <c r="F601" s="10">
        <f t="shared" ca="1" si="78"/>
        <v>64330</v>
      </c>
      <c r="G601" s="156">
        <f t="shared" ca="1" si="79"/>
        <v>2418776.9556939323</v>
      </c>
      <c r="H601" s="156">
        <f ca="1">SUM($G$8:G601)*gamma</f>
        <v>11069239.652647607</v>
      </c>
      <c r="I601" s="23">
        <f ca="1">MAX(0,ROUND($I$7-$H$7-H601-SUM($G$8:G601),0))</f>
        <v>0</v>
      </c>
      <c r="J601" s="208">
        <f t="shared" ca="1" si="73"/>
        <v>593</v>
      </c>
    </row>
    <row r="602" spans="1:10" ht="15.75" customHeight="1" thickBot="1">
      <c r="A602" s="237">
        <f t="shared" ca="1" si="74"/>
        <v>64359</v>
      </c>
      <c r="B602" s="238">
        <f t="shared" ca="1" si="75"/>
        <v>2418777</v>
      </c>
      <c r="C602" s="238">
        <f t="shared" ca="1" si="76"/>
        <v>0</v>
      </c>
      <c r="D602" s="155">
        <f t="shared" ca="1" si="77"/>
        <v>594</v>
      </c>
      <c r="E602" s="209">
        <f t="shared" ca="1" si="72"/>
        <v>6</v>
      </c>
      <c r="F602" s="10">
        <f t="shared" ca="1" si="78"/>
        <v>64359</v>
      </c>
      <c r="G602" s="156">
        <f t="shared" ca="1" si="79"/>
        <v>2418776.9556939323</v>
      </c>
      <c r="H602" s="156">
        <f ca="1">SUM($G$8:G602)*gamma</f>
        <v>11141802.961318426</v>
      </c>
      <c r="I602" s="23">
        <f ca="1">MAX(0,ROUND($I$7-$H$7-H602-SUM($G$8:G602),0))</f>
        <v>0</v>
      </c>
      <c r="J602" s="208">
        <f t="shared" ca="1" si="73"/>
        <v>594</v>
      </c>
    </row>
    <row r="603" spans="1:10" ht="15.75" customHeight="1" thickBot="1">
      <c r="A603" s="237">
        <f t="shared" ca="1" si="74"/>
        <v>64390</v>
      </c>
      <c r="B603" s="238">
        <f t="shared" ca="1" si="75"/>
        <v>2418777</v>
      </c>
      <c r="C603" s="238">
        <f t="shared" ca="1" si="76"/>
        <v>0</v>
      </c>
      <c r="D603" s="155">
        <f t="shared" ca="1" si="77"/>
        <v>595</v>
      </c>
      <c r="E603" s="209">
        <f t="shared" ca="1" si="72"/>
        <v>7</v>
      </c>
      <c r="F603" s="10">
        <f t="shared" ca="1" si="78"/>
        <v>64390</v>
      </c>
      <c r="G603" s="156">
        <f t="shared" ca="1" si="79"/>
        <v>2418776.9556939323</v>
      </c>
      <c r="H603" s="156">
        <f ca="1">SUM($G$8:G603)*gamma</f>
        <v>11214366.269989245</v>
      </c>
      <c r="I603" s="23">
        <f ca="1">MAX(0,ROUND($I$7-$H$7-H603-SUM($G$8:G603),0))</f>
        <v>0</v>
      </c>
      <c r="J603" s="208">
        <f t="shared" ca="1" si="73"/>
        <v>595</v>
      </c>
    </row>
    <row r="604" spans="1:10" ht="15.75" customHeight="1" thickBot="1">
      <c r="A604" s="237">
        <f t="shared" ca="1" si="74"/>
        <v>64420</v>
      </c>
      <c r="B604" s="238">
        <f t="shared" ca="1" si="75"/>
        <v>2418777</v>
      </c>
      <c r="C604" s="238">
        <f t="shared" ca="1" si="76"/>
        <v>0</v>
      </c>
      <c r="D604" s="155">
        <f t="shared" ca="1" si="77"/>
        <v>596</v>
      </c>
      <c r="E604" s="209">
        <f t="shared" ca="1" si="72"/>
        <v>8</v>
      </c>
      <c r="F604" s="10">
        <f t="shared" ca="1" si="78"/>
        <v>64420</v>
      </c>
      <c r="G604" s="156">
        <f t="shared" ca="1" si="79"/>
        <v>2418776.9556939323</v>
      </c>
      <c r="H604" s="156">
        <f ca="1">SUM($G$8:G604)*gamma</f>
        <v>11286929.578660063</v>
      </c>
      <c r="I604" s="23">
        <f ca="1">MAX(0,ROUND($I$7-$H$7-H604-SUM($G$8:G604),0))</f>
        <v>0</v>
      </c>
      <c r="J604" s="208">
        <f t="shared" ca="1" si="73"/>
        <v>596</v>
      </c>
    </row>
    <row r="605" spans="1:10" ht="15.75" customHeight="1" thickBot="1">
      <c r="A605" s="237">
        <f t="shared" ca="1" si="74"/>
        <v>64451</v>
      </c>
      <c r="B605" s="238">
        <f t="shared" ca="1" si="75"/>
        <v>2418777</v>
      </c>
      <c r="C605" s="238">
        <f t="shared" ca="1" si="76"/>
        <v>0</v>
      </c>
      <c r="D605" s="155">
        <f t="shared" ca="1" si="77"/>
        <v>597</v>
      </c>
      <c r="E605" s="209">
        <f t="shared" ca="1" si="72"/>
        <v>9</v>
      </c>
      <c r="F605" s="10">
        <f t="shared" ca="1" si="78"/>
        <v>64451</v>
      </c>
      <c r="G605" s="156">
        <f t="shared" ca="1" si="79"/>
        <v>2418776.9556939323</v>
      </c>
      <c r="H605" s="156">
        <f ca="1">SUM($G$8:G605)*gamma</f>
        <v>11359492.887330882</v>
      </c>
      <c r="I605" s="23">
        <f ca="1">MAX(0,ROUND($I$7-$H$7-H605-SUM($G$8:G605),0))</f>
        <v>0</v>
      </c>
      <c r="J605" s="208">
        <f t="shared" ca="1" si="73"/>
        <v>597</v>
      </c>
    </row>
    <row r="606" spans="1:10" ht="15.75" customHeight="1" thickBot="1">
      <c r="A606" s="237">
        <f t="shared" ca="1" si="74"/>
        <v>64481</v>
      </c>
      <c r="B606" s="238">
        <f t="shared" ca="1" si="75"/>
        <v>2418777</v>
      </c>
      <c r="C606" s="238">
        <f t="shared" ca="1" si="76"/>
        <v>0</v>
      </c>
      <c r="D606" s="155">
        <f t="shared" ca="1" si="77"/>
        <v>598</v>
      </c>
      <c r="E606" s="209">
        <f t="shared" ca="1" si="72"/>
        <v>10</v>
      </c>
      <c r="F606" s="10">
        <f t="shared" ca="1" si="78"/>
        <v>64481</v>
      </c>
      <c r="G606" s="156">
        <f t="shared" ca="1" si="79"/>
        <v>2418776.9556939323</v>
      </c>
      <c r="H606" s="156">
        <f ca="1">SUM($G$8:G606)*gamma</f>
        <v>11432056.196001701</v>
      </c>
      <c r="I606" s="23">
        <f ca="1">MAX(0,ROUND($I$7-$H$7-H606-SUM($G$8:G606),0))</f>
        <v>0</v>
      </c>
      <c r="J606" s="208">
        <f t="shared" ca="1" si="73"/>
        <v>598</v>
      </c>
    </row>
    <row r="607" spans="1:10" ht="15.75" customHeight="1" thickBot="1">
      <c r="A607" s="237">
        <f t="shared" ca="1" si="74"/>
        <v>64512</v>
      </c>
      <c r="B607" s="238">
        <f t="shared" ca="1" si="75"/>
        <v>2418777</v>
      </c>
      <c r="C607" s="238">
        <f t="shared" ca="1" si="76"/>
        <v>0</v>
      </c>
      <c r="D607" s="155">
        <f t="shared" ca="1" si="77"/>
        <v>599</v>
      </c>
      <c r="E607" s="209">
        <f t="shared" ca="1" si="72"/>
        <v>11</v>
      </c>
      <c r="F607" s="10">
        <f t="shared" ca="1" si="78"/>
        <v>64512</v>
      </c>
      <c r="G607" s="156">
        <f t="shared" ca="1" si="79"/>
        <v>2418776.9556939323</v>
      </c>
      <c r="H607" s="156">
        <f ca="1">SUM($G$8:G607)*gamma</f>
        <v>11504619.50467252</v>
      </c>
      <c r="I607" s="23">
        <f ca="1">MAX(0,ROUND($I$7-$H$7-H607-SUM($G$8:G607),0))</f>
        <v>0</v>
      </c>
      <c r="J607" s="208">
        <f t="shared" ca="1" si="73"/>
        <v>599</v>
      </c>
    </row>
    <row r="608" spans="1:10" ht="15.75" customHeight="1" thickBot="1">
      <c r="A608" s="237">
        <f t="shared" ca="1" si="74"/>
        <v>64543</v>
      </c>
      <c r="B608" s="238">
        <f t="shared" ca="1" si="75"/>
        <v>2612279</v>
      </c>
      <c r="C608" s="238">
        <f t="shared" ca="1" si="76"/>
        <v>0</v>
      </c>
      <c r="D608" s="155">
        <f t="shared" ca="1" si="77"/>
        <v>600</v>
      </c>
      <c r="E608" s="209">
        <f t="shared" ca="1" si="72"/>
        <v>0</v>
      </c>
      <c r="F608" s="10">
        <f t="shared" ca="1" si="78"/>
        <v>64543</v>
      </c>
      <c r="G608" s="156">
        <f t="shared" ca="1" si="79"/>
        <v>2612279.1121494472</v>
      </c>
      <c r="H608" s="156">
        <f ca="1">SUM($G$8:G608)*gamma</f>
        <v>11582987.878037002</v>
      </c>
      <c r="I608" s="23">
        <f ca="1">MAX(0,ROUND($I$7-$H$7-H608-SUM($G$8:G608),0))</f>
        <v>0</v>
      </c>
      <c r="J608" s="208">
        <f t="shared" ca="1" si="73"/>
        <v>600</v>
      </c>
    </row>
    <row r="609" spans="1:10" ht="15.75" customHeight="1" thickBot="1">
      <c r="A609" s="237">
        <f t="shared" ca="1" si="74"/>
        <v>64573</v>
      </c>
      <c r="B609" s="238">
        <f t="shared" ca="1" si="75"/>
        <v>2612279</v>
      </c>
      <c r="C609" s="238">
        <f t="shared" ca="1" si="76"/>
        <v>0</v>
      </c>
      <c r="D609" s="155">
        <f t="shared" ca="1" si="77"/>
        <v>601</v>
      </c>
      <c r="E609" s="209">
        <f t="shared" ca="1" si="72"/>
        <v>1</v>
      </c>
      <c r="F609" s="10">
        <f t="shared" ca="1" si="78"/>
        <v>64573</v>
      </c>
      <c r="G609" s="156">
        <f t="shared" ca="1" si="79"/>
        <v>2612279.1121494472</v>
      </c>
      <c r="H609" s="156">
        <f ca="1">SUM($G$8:G609)*gamma</f>
        <v>11661356.251401486</v>
      </c>
      <c r="I609" s="23">
        <f ca="1">MAX(0,ROUND($I$7-$H$7-H609-SUM($G$8:G609),0))</f>
        <v>0</v>
      </c>
      <c r="J609" s="208">
        <f t="shared" ca="1" si="73"/>
        <v>601</v>
      </c>
    </row>
    <row r="610" spans="1:10" ht="15.75" customHeight="1" thickBot="1">
      <c r="A610" s="237">
        <f t="shared" ca="1" si="74"/>
        <v>64604</v>
      </c>
      <c r="B610" s="238">
        <f t="shared" ca="1" si="75"/>
        <v>2612279</v>
      </c>
      <c r="C610" s="238">
        <f t="shared" ca="1" si="76"/>
        <v>0</v>
      </c>
      <c r="D610" s="155">
        <f t="shared" ca="1" si="77"/>
        <v>602</v>
      </c>
      <c r="E610" s="209">
        <f t="shared" ca="1" si="72"/>
        <v>2</v>
      </c>
      <c r="F610" s="10">
        <f t="shared" ca="1" si="78"/>
        <v>64604</v>
      </c>
      <c r="G610" s="156">
        <f t="shared" ca="1" si="79"/>
        <v>2612279.1121494472</v>
      </c>
      <c r="H610" s="156">
        <f ca="1">SUM($G$8:G610)*gamma</f>
        <v>11739724.62476597</v>
      </c>
      <c r="I610" s="23">
        <f ca="1">MAX(0,ROUND($I$7-$H$7-H610-SUM($G$8:G610),0))</f>
        <v>0</v>
      </c>
      <c r="J610" s="208">
        <f t="shared" ca="1" si="73"/>
        <v>602</v>
      </c>
    </row>
    <row r="611" spans="1:10" ht="15.75" customHeight="1" thickBot="1">
      <c r="A611" s="237">
        <f t="shared" ca="1" si="74"/>
        <v>64634</v>
      </c>
      <c r="B611" s="238">
        <f t="shared" ca="1" si="75"/>
        <v>2612279</v>
      </c>
      <c r="C611" s="238">
        <f t="shared" ca="1" si="76"/>
        <v>0</v>
      </c>
      <c r="D611" s="155">
        <f t="shared" ca="1" si="77"/>
        <v>603</v>
      </c>
      <c r="E611" s="209">
        <f t="shared" ca="1" si="72"/>
        <v>3</v>
      </c>
      <c r="F611" s="10">
        <f t="shared" ca="1" si="78"/>
        <v>64634</v>
      </c>
      <c r="G611" s="156">
        <f t="shared" ca="1" si="79"/>
        <v>2612279.1121494472</v>
      </c>
      <c r="H611" s="156">
        <f ca="1">SUM($G$8:G611)*gamma</f>
        <v>11818092.998130454</v>
      </c>
      <c r="I611" s="23">
        <f ca="1">MAX(0,ROUND($I$7-$H$7-H611-SUM($G$8:G611),0))</f>
        <v>0</v>
      </c>
      <c r="J611" s="208">
        <f t="shared" ca="1" si="73"/>
        <v>603</v>
      </c>
    </row>
    <row r="612" spans="1:10" ht="15.75" customHeight="1" thickBot="1">
      <c r="A612" s="237">
        <f t="shared" ca="1" si="74"/>
        <v>64665</v>
      </c>
      <c r="B612" s="238">
        <f t="shared" ca="1" si="75"/>
        <v>2612279</v>
      </c>
      <c r="C612" s="238">
        <f t="shared" ca="1" si="76"/>
        <v>0</v>
      </c>
      <c r="D612" s="155">
        <f t="shared" ca="1" si="77"/>
        <v>604</v>
      </c>
      <c r="E612" s="209">
        <f t="shared" ca="1" si="72"/>
        <v>4</v>
      </c>
      <c r="F612" s="10">
        <f t="shared" ca="1" si="78"/>
        <v>64665</v>
      </c>
      <c r="G612" s="156">
        <f t="shared" ca="1" si="79"/>
        <v>2612279.1121494472</v>
      </c>
      <c r="H612" s="156">
        <f ca="1">SUM($G$8:G612)*gamma</f>
        <v>11896461.37149494</v>
      </c>
      <c r="I612" s="23">
        <f ca="1">MAX(0,ROUND($I$7-$H$7-H612-SUM($G$8:G612),0))</f>
        <v>0</v>
      </c>
      <c r="J612" s="208">
        <f t="shared" ca="1" si="73"/>
        <v>604</v>
      </c>
    </row>
    <row r="613" spans="1:10" ht="15.75" customHeight="1" thickBot="1">
      <c r="A613" s="237">
        <f t="shared" ca="1" si="74"/>
        <v>64696</v>
      </c>
      <c r="B613" s="238">
        <f t="shared" ca="1" si="75"/>
        <v>2612279</v>
      </c>
      <c r="C613" s="238">
        <f t="shared" ca="1" si="76"/>
        <v>0</v>
      </c>
      <c r="D613" s="155">
        <f t="shared" ca="1" si="77"/>
        <v>605</v>
      </c>
      <c r="E613" s="209">
        <f t="shared" ca="1" si="72"/>
        <v>5</v>
      </c>
      <c r="F613" s="10">
        <f t="shared" ca="1" si="78"/>
        <v>64696</v>
      </c>
      <c r="G613" s="156">
        <f t="shared" ca="1" si="79"/>
        <v>2612279.1121494472</v>
      </c>
      <c r="H613" s="156">
        <f ca="1">SUM($G$8:G613)*gamma</f>
        <v>11974829.744859423</v>
      </c>
      <c r="I613" s="23">
        <f ca="1">MAX(0,ROUND($I$7-$H$7-H613-SUM($G$8:G613),0))</f>
        <v>0</v>
      </c>
      <c r="J613" s="208">
        <f t="shared" ca="1" si="73"/>
        <v>605</v>
      </c>
    </row>
    <row r="614" spans="1:10" ht="15.75" customHeight="1" thickBot="1">
      <c r="A614" s="237">
        <f t="shared" ca="1" si="74"/>
        <v>64724</v>
      </c>
      <c r="B614" s="238">
        <f t="shared" ca="1" si="75"/>
        <v>2612279</v>
      </c>
      <c r="C614" s="238">
        <f t="shared" ca="1" si="76"/>
        <v>0</v>
      </c>
      <c r="D614" s="155">
        <f t="shared" ca="1" si="77"/>
        <v>606</v>
      </c>
      <c r="E614" s="209">
        <f t="shared" ca="1" si="72"/>
        <v>6</v>
      </c>
      <c r="F614" s="10">
        <f t="shared" ca="1" si="78"/>
        <v>64724</v>
      </c>
      <c r="G614" s="156">
        <f t="shared" ca="1" si="79"/>
        <v>2612279.1121494472</v>
      </c>
      <c r="H614" s="156">
        <f ca="1">SUM($G$8:G614)*gamma</f>
        <v>12053198.118223907</v>
      </c>
      <c r="I614" s="23">
        <f ca="1">MAX(0,ROUND($I$7-$H$7-H614-SUM($G$8:G614),0))</f>
        <v>0</v>
      </c>
      <c r="J614" s="208">
        <f t="shared" ca="1" si="73"/>
        <v>606</v>
      </c>
    </row>
    <row r="615" spans="1:10" ht="15.75" customHeight="1" thickBot="1">
      <c r="A615" s="237">
        <f t="shared" ca="1" si="74"/>
        <v>64755</v>
      </c>
      <c r="B615" s="238">
        <f t="shared" ca="1" si="75"/>
        <v>2612279</v>
      </c>
      <c r="C615" s="238">
        <f t="shared" ca="1" si="76"/>
        <v>0</v>
      </c>
      <c r="D615" s="155">
        <f t="shared" ca="1" si="77"/>
        <v>607</v>
      </c>
      <c r="E615" s="209">
        <f t="shared" ca="1" si="72"/>
        <v>7</v>
      </c>
      <c r="F615" s="10">
        <f t="shared" ca="1" si="78"/>
        <v>64755</v>
      </c>
      <c r="G615" s="156">
        <f t="shared" ca="1" si="79"/>
        <v>2612279.1121494472</v>
      </c>
      <c r="H615" s="156">
        <f ca="1">SUM($G$8:G615)*gamma</f>
        <v>12131566.491588391</v>
      </c>
      <c r="I615" s="23">
        <f ca="1">MAX(0,ROUND($I$7-$H$7-H615-SUM($G$8:G615),0))</f>
        <v>0</v>
      </c>
      <c r="J615" s="208">
        <f t="shared" ca="1" si="73"/>
        <v>607</v>
      </c>
    </row>
    <row r="616" spans="1:10" ht="15.75" customHeight="1" thickBot="1">
      <c r="A616" s="237">
        <f t="shared" ca="1" si="74"/>
        <v>64785</v>
      </c>
      <c r="B616" s="238">
        <f t="shared" ca="1" si="75"/>
        <v>2612279</v>
      </c>
      <c r="C616" s="238">
        <f t="shared" ca="1" si="76"/>
        <v>0</v>
      </c>
      <c r="D616" s="155">
        <f t="shared" ca="1" si="77"/>
        <v>608</v>
      </c>
      <c r="E616" s="209">
        <f t="shared" ca="1" si="72"/>
        <v>8</v>
      </c>
      <c r="F616" s="10">
        <f t="shared" ca="1" si="78"/>
        <v>64785</v>
      </c>
      <c r="G616" s="156">
        <f t="shared" ca="1" si="79"/>
        <v>2612279.1121494472</v>
      </c>
      <c r="H616" s="156">
        <f ca="1">SUM($G$8:G616)*gamma</f>
        <v>12209934.864952875</v>
      </c>
      <c r="I616" s="23">
        <f ca="1">MAX(0,ROUND($I$7-$H$7-H616-SUM($G$8:G616),0))</f>
        <v>0</v>
      </c>
      <c r="J616" s="208">
        <f t="shared" ca="1" si="73"/>
        <v>608</v>
      </c>
    </row>
    <row r="617" spans="1:10" ht="15.75" customHeight="1" thickBot="1">
      <c r="A617" s="237">
        <f t="shared" ca="1" si="74"/>
        <v>64816</v>
      </c>
      <c r="B617" s="238">
        <f t="shared" ca="1" si="75"/>
        <v>2612279</v>
      </c>
      <c r="C617" s="238">
        <f t="shared" ca="1" si="76"/>
        <v>0</v>
      </c>
      <c r="D617" s="155">
        <f t="shared" ca="1" si="77"/>
        <v>609</v>
      </c>
      <c r="E617" s="209">
        <f t="shared" ca="1" si="72"/>
        <v>9</v>
      </c>
      <c r="F617" s="10">
        <f t="shared" ca="1" si="78"/>
        <v>64816</v>
      </c>
      <c r="G617" s="156">
        <f t="shared" ca="1" si="79"/>
        <v>2612279.1121494472</v>
      </c>
      <c r="H617" s="156">
        <f ca="1">SUM($G$8:G617)*gamma</f>
        <v>12288303.238317361</v>
      </c>
      <c r="I617" s="23">
        <f ca="1">MAX(0,ROUND($I$7-$H$7-H617-SUM($G$8:G617),0))</f>
        <v>0</v>
      </c>
      <c r="J617" s="208">
        <f t="shared" ca="1" si="73"/>
        <v>609</v>
      </c>
    </row>
    <row r="618" spans="1:10" ht="15.75" customHeight="1" thickBot="1">
      <c r="A618" s="237">
        <f t="shared" ca="1" si="74"/>
        <v>64846</v>
      </c>
      <c r="B618" s="238">
        <f t="shared" ca="1" si="75"/>
        <v>2612279</v>
      </c>
      <c r="C618" s="238">
        <f t="shared" ca="1" si="76"/>
        <v>0</v>
      </c>
      <c r="D618" s="155">
        <f t="shared" ca="1" si="77"/>
        <v>610</v>
      </c>
      <c r="E618" s="209">
        <f t="shared" ca="1" si="72"/>
        <v>10</v>
      </c>
      <c r="F618" s="10">
        <f t="shared" ca="1" si="78"/>
        <v>64846</v>
      </c>
      <c r="G618" s="156">
        <f t="shared" ca="1" si="79"/>
        <v>2612279.1121494472</v>
      </c>
      <c r="H618" s="156">
        <f ca="1">SUM($G$8:G618)*gamma</f>
        <v>12366671.611681845</v>
      </c>
      <c r="I618" s="23">
        <f ca="1">MAX(0,ROUND($I$7-$H$7-H618-SUM($G$8:G618),0))</f>
        <v>0</v>
      </c>
      <c r="J618" s="208">
        <f t="shared" ca="1" si="73"/>
        <v>610</v>
      </c>
    </row>
    <row r="619" spans="1:10" ht="15.75" customHeight="1" thickBot="1">
      <c r="A619" s="237">
        <f t="shared" ca="1" si="74"/>
        <v>64877</v>
      </c>
      <c r="B619" s="238">
        <f t="shared" ca="1" si="75"/>
        <v>2612279</v>
      </c>
      <c r="C619" s="238">
        <f t="shared" ca="1" si="76"/>
        <v>0</v>
      </c>
      <c r="D619" s="155">
        <f t="shared" ca="1" si="77"/>
        <v>611</v>
      </c>
      <c r="E619" s="209">
        <f t="shared" ca="1" si="72"/>
        <v>11</v>
      </c>
      <c r="F619" s="10">
        <f t="shared" ca="1" si="78"/>
        <v>64877</v>
      </c>
      <c r="G619" s="156">
        <f t="shared" ca="1" si="79"/>
        <v>2612279.1121494472</v>
      </c>
      <c r="H619" s="156">
        <f ca="1">SUM($G$8:G619)*gamma</f>
        <v>12445039.985046329</v>
      </c>
      <c r="I619" s="23">
        <f ca="1">MAX(0,ROUND($I$7-$H$7-H619-SUM($G$8:G619),0))</f>
        <v>0</v>
      </c>
      <c r="J619" s="208">
        <f t="shared" ca="1" si="73"/>
        <v>611</v>
      </c>
    </row>
    <row r="620" spans="1:10" ht="15.75" customHeight="1" thickBot="1">
      <c r="A620" s="237">
        <f t="shared" ca="1" si="74"/>
        <v>64908</v>
      </c>
      <c r="B620" s="238">
        <f t="shared" ca="1" si="75"/>
        <v>2821261</v>
      </c>
      <c r="C620" s="238">
        <f t="shared" ca="1" si="76"/>
        <v>0</v>
      </c>
      <c r="D620" s="155">
        <f t="shared" ca="1" si="77"/>
        <v>612</v>
      </c>
      <c r="E620" s="209">
        <f t="shared" ca="1" si="72"/>
        <v>0</v>
      </c>
      <c r="F620" s="10">
        <f t="shared" ca="1" si="78"/>
        <v>64908</v>
      </c>
      <c r="G620" s="156">
        <f t="shared" ca="1" si="79"/>
        <v>2821261.4411214031</v>
      </c>
      <c r="H620" s="156">
        <f ca="1">SUM($G$8:G620)*gamma</f>
        <v>12529677.82827997</v>
      </c>
      <c r="I620" s="23">
        <f ca="1">MAX(0,ROUND($I$7-$H$7-H620-SUM($G$8:G620),0))</f>
        <v>0</v>
      </c>
      <c r="J620" s="208">
        <f t="shared" ca="1" si="73"/>
        <v>612</v>
      </c>
    </row>
    <row r="621" spans="1:10" ht="15.75" customHeight="1" thickBot="1">
      <c r="A621" s="237">
        <f t="shared" ca="1" si="74"/>
        <v>64938</v>
      </c>
      <c r="B621" s="238">
        <f t="shared" ca="1" si="75"/>
        <v>2821261</v>
      </c>
      <c r="C621" s="238">
        <f t="shared" ca="1" si="76"/>
        <v>0</v>
      </c>
      <c r="D621" s="155">
        <f t="shared" ca="1" si="77"/>
        <v>613</v>
      </c>
      <c r="E621" s="209">
        <f t="shared" ca="1" si="72"/>
        <v>1</v>
      </c>
      <c r="F621" s="10">
        <f t="shared" ca="1" si="78"/>
        <v>64938</v>
      </c>
      <c r="G621" s="156">
        <f t="shared" ca="1" si="79"/>
        <v>2821261.4411214031</v>
      </c>
      <c r="H621" s="156">
        <f ca="1">SUM($G$8:G621)*gamma</f>
        <v>12614315.671513613</v>
      </c>
      <c r="I621" s="23">
        <f ca="1">MAX(0,ROUND($I$7-$H$7-H621-SUM($G$8:G621),0))</f>
        <v>0</v>
      </c>
      <c r="J621" s="208">
        <f t="shared" ca="1" si="73"/>
        <v>613</v>
      </c>
    </row>
    <row r="622" spans="1:10" ht="15.75" customHeight="1" thickBot="1">
      <c r="A622" s="237">
        <f t="shared" ca="1" si="74"/>
        <v>64969</v>
      </c>
      <c r="B622" s="238">
        <f t="shared" ca="1" si="75"/>
        <v>2821261</v>
      </c>
      <c r="C622" s="238">
        <f t="shared" ca="1" si="76"/>
        <v>0</v>
      </c>
      <c r="D622" s="155">
        <f t="shared" ca="1" si="77"/>
        <v>614</v>
      </c>
      <c r="E622" s="209">
        <f t="shared" ca="1" si="72"/>
        <v>2</v>
      </c>
      <c r="F622" s="10">
        <f t="shared" ca="1" si="78"/>
        <v>64969</v>
      </c>
      <c r="G622" s="156">
        <f t="shared" ca="1" si="79"/>
        <v>2821261.4411214031</v>
      </c>
      <c r="H622" s="156">
        <f ca="1">SUM($G$8:G622)*gamma</f>
        <v>12698953.514747255</v>
      </c>
      <c r="I622" s="23">
        <f ca="1">MAX(0,ROUND($I$7-$H$7-H622-SUM($G$8:G622),0))</f>
        <v>0</v>
      </c>
      <c r="J622" s="208">
        <f t="shared" ca="1" si="73"/>
        <v>614</v>
      </c>
    </row>
    <row r="623" spans="1:10" ht="15.75" customHeight="1" thickBot="1">
      <c r="A623" s="237">
        <f t="shared" ca="1" si="74"/>
        <v>64999</v>
      </c>
      <c r="B623" s="238">
        <f t="shared" ca="1" si="75"/>
        <v>2821261</v>
      </c>
      <c r="C623" s="238">
        <f t="shared" ca="1" si="76"/>
        <v>0</v>
      </c>
      <c r="D623" s="155">
        <f t="shared" ca="1" si="77"/>
        <v>615</v>
      </c>
      <c r="E623" s="209">
        <f t="shared" ca="1" si="72"/>
        <v>3</v>
      </c>
      <c r="F623" s="10">
        <f t="shared" ca="1" si="78"/>
        <v>64999</v>
      </c>
      <c r="G623" s="156">
        <f t="shared" ca="1" si="79"/>
        <v>2821261.4411214031</v>
      </c>
      <c r="H623" s="156">
        <f ca="1">SUM($G$8:G623)*gamma</f>
        <v>12783591.357980898</v>
      </c>
      <c r="I623" s="23">
        <f ca="1">MAX(0,ROUND($I$7-$H$7-H623-SUM($G$8:G623),0))</f>
        <v>0</v>
      </c>
      <c r="J623" s="208">
        <f t="shared" ca="1" si="73"/>
        <v>615</v>
      </c>
    </row>
    <row r="624" spans="1:10" ht="15.75" customHeight="1" thickBot="1">
      <c r="A624" s="237">
        <f t="shared" ca="1" si="74"/>
        <v>65030</v>
      </c>
      <c r="B624" s="238">
        <f t="shared" ca="1" si="75"/>
        <v>2821261</v>
      </c>
      <c r="C624" s="238">
        <f t="shared" ca="1" si="76"/>
        <v>0</v>
      </c>
      <c r="D624" s="155">
        <f t="shared" ca="1" si="77"/>
        <v>616</v>
      </c>
      <c r="E624" s="209">
        <f t="shared" ca="1" si="72"/>
        <v>4</v>
      </c>
      <c r="F624" s="10">
        <f t="shared" ca="1" si="78"/>
        <v>65030</v>
      </c>
      <c r="G624" s="156">
        <f t="shared" ca="1" si="79"/>
        <v>2821261.4411214031</v>
      </c>
      <c r="H624" s="156">
        <f ca="1">SUM($G$8:G624)*gamma</f>
        <v>12868229.201214539</v>
      </c>
      <c r="I624" s="23">
        <f ca="1">MAX(0,ROUND($I$7-$H$7-H624-SUM($G$8:G624),0))</f>
        <v>0</v>
      </c>
      <c r="J624" s="208">
        <f t="shared" ca="1" si="73"/>
        <v>616</v>
      </c>
    </row>
    <row r="625" spans="1:10" ht="15.75" customHeight="1" thickBot="1">
      <c r="A625" s="237">
        <f t="shared" ca="1" si="74"/>
        <v>65061</v>
      </c>
      <c r="B625" s="238">
        <f t="shared" ca="1" si="75"/>
        <v>2821261</v>
      </c>
      <c r="C625" s="238">
        <f t="shared" ca="1" si="76"/>
        <v>0</v>
      </c>
      <c r="D625" s="155">
        <f t="shared" ca="1" si="77"/>
        <v>617</v>
      </c>
      <c r="E625" s="209">
        <f t="shared" ca="1" si="72"/>
        <v>5</v>
      </c>
      <c r="F625" s="10">
        <f t="shared" ca="1" si="78"/>
        <v>65061</v>
      </c>
      <c r="G625" s="156">
        <f t="shared" ca="1" si="79"/>
        <v>2821261.4411214031</v>
      </c>
      <c r="H625" s="156">
        <f ca="1">SUM($G$8:G625)*gamma</f>
        <v>12952867.04444818</v>
      </c>
      <c r="I625" s="23">
        <f ca="1">MAX(0,ROUND($I$7-$H$7-H625-SUM($G$8:G625),0))</f>
        <v>0</v>
      </c>
      <c r="J625" s="208">
        <f t="shared" ca="1" si="73"/>
        <v>617</v>
      </c>
    </row>
    <row r="626" spans="1:10" ht="15.75" customHeight="1" thickBot="1">
      <c r="A626" s="237">
        <f t="shared" ca="1" si="74"/>
        <v>65089</v>
      </c>
      <c r="B626" s="238">
        <f t="shared" ca="1" si="75"/>
        <v>2821261</v>
      </c>
      <c r="C626" s="238">
        <f t="shared" ca="1" si="76"/>
        <v>0</v>
      </c>
      <c r="D626" s="155">
        <f t="shared" ca="1" si="77"/>
        <v>618</v>
      </c>
      <c r="E626" s="209">
        <f t="shared" ca="1" si="72"/>
        <v>6</v>
      </c>
      <c r="F626" s="10">
        <f t="shared" ca="1" si="78"/>
        <v>65089</v>
      </c>
      <c r="G626" s="156">
        <f t="shared" ca="1" si="79"/>
        <v>2821261.4411214031</v>
      </c>
      <c r="H626" s="156">
        <f ca="1">SUM($G$8:G626)*gamma</f>
        <v>13037504.887681823</v>
      </c>
      <c r="I626" s="23">
        <f ca="1">MAX(0,ROUND($I$7-$H$7-H626-SUM($G$8:G626),0))</f>
        <v>0</v>
      </c>
      <c r="J626" s="208">
        <f t="shared" ca="1" si="73"/>
        <v>618</v>
      </c>
    </row>
    <row r="627" spans="1:10" ht="15.75" customHeight="1" thickBot="1">
      <c r="A627" s="237">
        <f t="shared" ca="1" si="74"/>
        <v>65120</v>
      </c>
      <c r="B627" s="238">
        <f t="shared" ca="1" si="75"/>
        <v>2821261</v>
      </c>
      <c r="C627" s="238">
        <f t="shared" ca="1" si="76"/>
        <v>0</v>
      </c>
      <c r="D627" s="155">
        <f t="shared" ca="1" si="77"/>
        <v>619</v>
      </c>
      <c r="E627" s="209">
        <f t="shared" ca="1" si="72"/>
        <v>7</v>
      </c>
      <c r="F627" s="10">
        <f t="shared" ca="1" si="78"/>
        <v>65120</v>
      </c>
      <c r="G627" s="156">
        <f t="shared" ca="1" si="79"/>
        <v>2821261.4411214031</v>
      </c>
      <c r="H627" s="156">
        <f ca="1">SUM($G$8:G627)*gamma</f>
        <v>13122142.730915464</v>
      </c>
      <c r="I627" s="23">
        <f ca="1">MAX(0,ROUND($I$7-$H$7-H627-SUM($G$8:G627),0))</f>
        <v>0</v>
      </c>
      <c r="J627" s="208">
        <f t="shared" ca="1" si="73"/>
        <v>619</v>
      </c>
    </row>
    <row r="628" spans="1:10" ht="15.75" customHeight="1" thickBot="1">
      <c r="A628" s="237">
        <f t="shared" ca="1" si="74"/>
        <v>65150</v>
      </c>
      <c r="B628" s="238">
        <f t="shared" ca="1" si="75"/>
        <v>2821261</v>
      </c>
      <c r="C628" s="238">
        <f t="shared" ca="1" si="76"/>
        <v>0</v>
      </c>
      <c r="D628" s="155">
        <f t="shared" ca="1" si="77"/>
        <v>620</v>
      </c>
      <c r="E628" s="209">
        <f t="shared" ca="1" si="72"/>
        <v>8</v>
      </c>
      <c r="F628" s="10">
        <f t="shared" ca="1" si="78"/>
        <v>65150</v>
      </c>
      <c r="G628" s="156">
        <f t="shared" ca="1" si="79"/>
        <v>2821261.4411214031</v>
      </c>
      <c r="H628" s="156">
        <f ca="1">SUM($G$8:G628)*gamma</f>
        <v>13206780.574149108</v>
      </c>
      <c r="I628" s="23">
        <f ca="1">MAX(0,ROUND($I$7-$H$7-H628-SUM($G$8:G628),0))</f>
        <v>0</v>
      </c>
      <c r="J628" s="208">
        <f t="shared" ca="1" si="73"/>
        <v>620</v>
      </c>
    </row>
    <row r="629" spans="1:10" ht="15.75" customHeight="1" thickBot="1">
      <c r="A629" s="237">
        <f t="shared" ca="1" si="74"/>
        <v>65181</v>
      </c>
      <c r="B629" s="238">
        <f t="shared" ca="1" si="75"/>
        <v>2821261</v>
      </c>
      <c r="C629" s="238">
        <f t="shared" ca="1" si="76"/>
        <v>0</v>
      </c>
      <c r="D629" s="155">
        <f t="shared" ca="1" si="77"/>
        <v>621</v>
      </c>
      <c r="E629" s="209">
        <f t="shared" ca="1" si="72"/>
        <v>9</v>
      </c>
      <c r="F629" s="10">
        <f t="shared" ca="1" si="78"/>
        <v>65181</v>
      </c>
      <c r="G629" s="156">
        <f t="shared" ca="1" si="79"/>
        <v>2821261.4411214031</v>
      </c>
      <c r="H629" s="156">
        <f ca="1">SUM($G$8:G629)*gamma</f>
        <v>13291418.417382749</v>
      </c>
      <c r="I629" s="23">
        <f ca="1">MAX(0,ROUND($I$7-$H$7-H629-SUM($G$8:G629),0))</f>
        <v>0</v>
      </c>
      <c r="J629" s="208">
        <f t="shared" ca="1" si="73"/>
        <v>621</v>
      </c>
    </row>
    <row r="630" spans="1:10" ht="15.75" customHeight="1" thickBot="1">
      <c r="A630" s="237">
        <f t="shared" ca="1" si="74"/>
        <v>65211</v>
      </c>
      <c r="B630" s="238">
        <f t="shared" ca="1" si="75"/>
        <v>2821261</v>
      </c>
      <c r="C630" s="238">
        <f t="shared" ca="1" si="76"/>
        <v>0</v>
      </c>
      <c r="D630" s="155">
        <f t="shared" ca="1" si="77"/>
        <v>622</v>
      </c>
      <c r="E630" s="209">
        <f t="shared" ca="1" si="72"/>
        <v>10</v>
      </c>
      <c r="F630" s="10">
        <f t="shared" ca="1" si="78"/>
        <v>65211</v>
      </c>
      <c r="G630" s="156">
        <f t="shared" ca="1" si="79"/>
        <v>2821261.4411214031</v>
      </c>
      <c r="H630" s="156">
        <f ca="1">SUM($G$8:G630)*gamma</f>
        <v>13376056.26061639</v>
      </c>
      <c r="I630" s="23">
        <f ca="1">MAX(0,ROUND($I$7-$H$7-H630-SUM($G$8:G630),0))</f>
        <v>0</v>
      </c>
      <c r="J630" s="208">
        <f t="shared" ca="1" si="73"/>
        <v>622</v>
      </c>
    </row>
    <row r="631" spans="1:10" ht="15.75" customHeight="1" thickBot="1">
      <c r="A631" s="237">
        <f t="shared" ca="1" si="74"/>
        <v>65242</v>
      </c>
      <c r="B631" s="238">
        <f t="shared" ca="1" si="75"/>
        <v>2821261</v>
      </c>
      <c r="C631" s="238">
        <f t="shared" ca="1" si="76"/>
        <v>0</v>
      </c>
      <c r="D631" s="155">
        <f t="shared" ca="1" si="77"/>
        <v>623</v>
      </c>
      <c r="E631" s="209">
        <f t="shared" ca="1" si="72"/>
        <v>11</v>
      </c>
      <c r="F631" s="10">
        <f t="shared" ca="1" si="78"/>
        <v>65242</v>
      </c>
      <c r="G631" s="156">
        <f t="shared" ca="1" si="79"/>
        <v>2821261.4411214031</v>
      </c>
      <c r="H631" s="156">
        <f ca="1">SUM($G$8:G631)*gamma</f>
        <v>13460694.103850033</v>
      </c>
      <c r="I631" s="23">
        <f ca="1">MAX(0,ROUND($I$7-$H$7-H631-SUM($G$8:G631),0))</f>
        <v>0</v>
      </c>
      <c r="J631" s="208">
        <f t="shared" ca="1" si="73"/>
        <v>623</v>
      </c>
    </row>
    <row r="632" spans="1:10" ht="15.75" customHeight="1" thickBot="1">
      <c r="A632" s="237">
        <f t="shared" ca="1" si="74"/>
        <v>65273</v>
      </c>
      <c r="B632" s="238">
        <f t="shared" ca="1" si="75"/>
        <v>3046962</v>
      </c>
      <c r="C632" s="238">
        <f t="shared" ca="1" si="76"/>
        <v>0</v>
      </c>
      <c r="D632" s="155">
        <f t="shared" ca="1" si="77"/>
        <v>624</v>
      </c>
      <c r="E632" s="209">
        <f t="shared" ca="1" si="72"/>
        <v>0</v>
      </c>
      <c r="F632" s="10">
        <f t="shared" ca="1" si="78"/>
        <v>65273</v>
      </c>
      <c r="G632" s="156">
        <f t="shared" ca="1" si="79"/>
        <v>3046962.3564111157</v>
      </c>
      <c r="H632" s="156">
        <f ca="1">SUM($G$8:G632)*gamma</f>
        <v>13552102.974542366</v>
      </c>
      <c r="I632" s="23">
        <f ca="1">MAX(0,ROUND($I$7-$H$7-H632-SUM($G$8:G632),0))</f>
        <v>0</v>
      </c>
      <c r="J632" s="208">
        <f t="shared" ca="1" si="73"/>
        <v>624</v>
      </c>
    </row>
    <row r="633" spans="1:10" ht="15.75" customHeight="1" thickBot="1">
      <c r="A633" s="237">
        <f t="shared" ca="1" si="74"/>
        <v>65303</v>
      </c>
      <c r="B633" s="238">
        <f t="shared" ca="1" si="75"/>
        <v>3046962</v>
      </c>
      <c r="C633" s="238">
        <f t="shared" ca="1" si="76"/>
        <v>0</v>
      </c>
      <c r="D633" s="155">
        <f t="shared" ca="1" si="77"/>
        <v>625</v>
      </c>
      <c r="E633" s="209">
        <f t="shared" ca="1" si="72"/>
        <v>1</v>
      </c>
      <c r="F633" s="10">
        <f t="shared" ca="1" si="78"/>
        <v>65303</v>
      </c>
      <c r="G633" s="156">
        <f t="shared" ca="1" si="79"/>
        <v>3046962.3564111157</v>
      </c>
      <c r="H633" s="156">
        <f ca="1">SUM($G$8:G633)*gamma</f>
        <v>13643511.8452347</v>
      </c>
      <c r="I633" s="23">
        <f ca="1">MAX(0,ROUND($I$7-$H$7-H633-SUM($G$8:G633),0))</f>
        <v>0</v>
      </c>
      <c r="J633" s="208">
        <f t="shared" ca="1" si="73"/>
        <v>625</v>
      </c>
    </row>
    <row r="634" spans="1:10" ht="15.75" customHeight="1" thickBot="1">
      <c r="A634" s="237">
        <f t="shared" ca="1" si="74"/>
        <v>65334</v>
      </c>
      <c r="B634" s="238">
        <f t="shared" ca="1" si="75"/>
        <v>3046962</v>
      </c>
      <c r="C634" s="238">
        <f t="shared" ca="1" si="76"/>
        <v>0</v>
      </c>
      <c r="D634" s="155">
        <f t="shared" ca="1" si="77"/>
        <v>626</v>
      </c>
      <c r="E634" s="209">
        <f t="shared" ca="1" si="72"/>
        <v>2</v>
      </c>
      <c r="F634" s="10">
        <f t="shared" ca="1" si="78"/>
        <v>65334</v>
      </c>
      <c r="G634" s="156">
        <f t="shared" ca="1" si="79"/>
        <v>3046962.3564111157</v>
      </c>
      <c r="H634" s="156">
        <f ca="1">SUM($G$8:G634)*gamma</f>
        <v>13734920.715927031</v>
      </c>
      <c r="I634" s="23">
        <f ca="1">MAX(0,ROUND($I$7-$H$7-H634-SUM($G$8:G634),0))</f>
        <v>0</v>
      </c>
      <c r="J634" s="208">
        <f t="shared" ca="1" si="73"/>
        <v>626</v>
      </c>
    </row>
    <row r="635" spans="1:10" ht="15.75" customHeight="1" thickBot="1">
      <c r="A635" s="237" t="str">
        <f t="shared" ca="1" si="74"/>
        <v/>
      </c>
      <c r="B635" s="238" t="str">
        <f t="shared" ca="1" si="75"/>
        <v/>
      </c>
      <c r="C635" s="238" t="str">
        <f t="shared" ca="1" si="76"/>
        <v/>
      </c>
      <c r="D635" s="155">
        <f t="shared" ca="1" si="77"/>
        <v>627</v>
      </c>
      <c r="E635" s="209">
        <f t="shared" ca="1" si="72"/>
        <v>3</v>
      </c>
      <c r="F635" s="10">
        <f t="shared" ca="1" si="78"/>
        <v>65364</v>
      </c>
      <c r="G635" s="156">
        <f t="shared" ca="1" si="79"/>
        <v>3046962.3564111157</v>
      </c>
      <c r="H635" s="156">
        <f ca="1">SUM($G$8:G635)*gamma</f>
        <v>13826329.586619364</v>
      </c>
      <c r="I635" s="23">
        <f ca="1">MAX(0,ROUND($I$7-$H$7-H635-SUM($G$8:G635),0))</f>
        <v>0</v>
      </c>
      <c r="J635" s="208">
        <f t="shared" ca="1" si="73"/>
        <v>627</v>
      </c>
    </row>
    <row r="636" spans="1:10" ht="15.75" customHeight="1" thickBot="1">
      <c r="A636" s="237" t="str">
        <f t="shared" ca="1" si="74"/>
        <v/>
      </c>
      <c r="B636" s="238" t="str">
        <f t="shared" ca="1" si="75"/>
        <v/>
      </c>
      <c r="C636" s="238" t="str">
        <f t="shared" ca="1" si="76"/>
        <v/>
      </c>
      <c r="D636" s="155">
        <f t="shared" ca="1" si="77"/>
        <v>628</v>
      </c>
      <c r="E636" s="209">
        <f t="shared" ca="1" si="72"/>
        <v>4</v>
      </c>
      <c r="F636" s="10">
        <f t="shared" ca="1" si="78"/>
        <v>65395</v>
      </c>
      <c r="G636" s="156">
        <f t="shared" ca="1" si="79"/>
        <v>3046962.3564111157</v>
      </c>
      <c r="H636" s="156">
        <f ca="1">SUM($G$8:G636)*gamma</f>
        <v>13917738.457311697</v>
      </c>
      <c r="I636" s="23">
        <f ca="1">MAX(0,ROUND($I$7-$H$7-H636-SUM($G$8:G636),0))</f>
        <v>0</v>
      </c>
      <c r="J636" s="208">
        <f t="shared" ca="1" si="73"/>
        <v>628</v>
      </c>
    </row>
    <row r="637" spans="1:10" ht="15.75" customHeight="1" thickBot="1">
      <c r="A637" s="237" t="str">
        <f t="shared" ca="1" si="74"/>
        <v/>
      </c>
      <c r="B637" s="238" t="str">
        <f t="shared" ca="1" si="75"/>
        <v/>
      </c>
      <c r="C637" s="238" t="str">
        <f t="shared" ca="1" si="76"/>
        <v/>
      </c>
      <c r="D637" s="155">
        <f t="shared" ca="1" si="77"/>
        <v>629</v>
      </c>
      <c r="E637" s="209">
        <f t="shared" ca="1" si="72"/>
        <v>5</v>
      </c>
      <c r="F637" s="10">
        <f t="shared" ca="1" si="78"/>
        <v>65426</v>
      </c>
      <c r="G637" s="156">
        <f t="shared" ca="1" si="79"/>
        <v>3046962.3564111157</v>
      </c>
      <c r="H637" s="156">
        <f ca="1">SUM($G$8:G637)*gamma</f>
        <v>14009147.328004031</v>
      </c>
      <c r="I637" s="23">
        <f ca="1">MAX(0,ROUND($I$7-$H$7-H637-SUM($G$8:G637),0))</f>
        <v>0</v>
      </c>
      <c r="J637" s="208">
        <f t="shared" ca="1" si="73"/>
        <v>629</v>
      </c>
    </row>
    <row r="638" spans="1:10" ht="15.75" customHeight="1" thickBot="1">
      <c r="A638" s="237" t="str">
        <f t="shared" ca="1" si="74"/>
        <v/>
      </c>
      <c r="B638" s="238" t="str">
        <f t="shared" ca="1" si="75"/>
        <v/>
      </c>
      <c r="C638" s="238" t="str">
        <f t="shared" ca="1" si="76"/>
        <v/>
      </c>
      <c r="D638" s="155">
        <f t="shared" ca="1" si="77"/>
        <v>630</v>
      </c>
      <c r="E638" s="209">
        <f t="shared" ca="1" si="72"/>
        <v>6</v>
      </c>
      <c r="F638" s="10">
        <f t="shared" ca="1" si="78"/>
        <v>65454</v>
      </c>
      <c r="G638" s="156">
        <f t="shared" ca="1" si="79"/>
        <v>3046962.3564111157</v>
      </c>
      <c r="H638" s="156">
        <f ca="1">SUM($G$8:G638)*gamma</f>
        <v>14100556.198696364</v>
      </c>
      <c r="I638" s="23">
        <f ca="1">MAX(0,ROUND($I$7-$H$7-H638-SUM($G$8:G638),0))</f>
        <v>0</v>
      </c>
      <c r="J638" s="208">
        <f t="shared" ca="1" si="73"/>
        <v>630</v>
      </c>
    </row>
    <row r="639" spans="1:10" ht="15.75" customHeight="1" thickBot="1">
      <c r="A639" s="237" t="str">
        <f t="shared" ca="1" si="74"/>
        <v/>
      </c>
      <c r="B639" s="238" t="str">
        <f t="shared" ca="1" si="75"/>
        <v/>
      </c>
      <c r="C639" s="238" t="str">
        <f t="shared" ca="1" si="76"/>
        <v/>
      </c>
      <c r="D639" s="155">
        <f t="shared" ca="1" si="77"/>
        <v>631</v>
      </c>
      <c r="E639" s="209">
        <f t="shared" ca="1" si="72"/>
        <v>7</v>
      </c>
      <c r="F639" s="10">
        <f t="shared" ca="1" si="78"/>
        <v>65485</v>
      </c>
      <c r="G639" s="156">
        <f t="shared" ca="1" si="79"/>
        <v>3046962.3564111157</v>
      </c>
      <c r="H639" s="156">
        <f ca="1">SUM($G$8:G639)*gamma</f>
        <v>14191965.069388697</v>
      </c>
      <c r="I639" s="23">
        <f ca="1">MAX(0,ROUND($I$7-$H$7-H639-SUM($G$8:G639),0))</f>
        <v>0</v>
      </c>
      <c r="J639" s="208">
        <f t="shared" ca="1" si="73"/>
        <v>631</v>
      </c>
    </row>
    <row r="640" spans="1:10" ht="15.75" customHeight="1" thickBot="1">
      <c r="A640" s="237" t="str">
        <f t="shared" ca="1" si="74"/>
        <v/>
      </c>
      <c r="B640" s="238" t="str">
        <f t="shared" ca="1" si="75"/>
        <v/>
      </c>
      <c r="C640" s="238" t="str">
        <f t="shared" ca="1" si="76"/>
        <v/>
      </c>
      <c r="D640" s="155">
        <f t="shared" ca="1" si="77"/>
        <v>632</v>
      </c>
      <c r="E640" s="209">
        <f t="shared" ca="1" si="72"/>
        <v>8</v>
      </c>
      <c r="F640" s="10">
        <f t="shared" ca="1" si="78"/>
        <v>65515</v>
      </c>
      <c r="G640" s="156">
        <f t="shared" ca="1" si="79"/>
        <v>3046962.3564111157</v>
      </c>
      <c r="H640" s="156">
        <f ca="1">SUM($G$8:G640)*gamma</f>
        <v>14283373.94008103</v>
      </c>
      <c r="I640" s="23">
        <f ca="1">MAX(0,ROUND($I$7-$H$7-H640-SUM($G$8:G640),0))</f>
        <v>0</v>
      </c>
      <c r="J640" s="208">
        <f t="shared" ca="1" si="73"/>
        <v>632</v>
      </c>
    </row>
    <row r="641" spans="1:10" ht="15.75" customHeight="1" thickBot="1">
      <c r="A641" s="237" t="str">
        <f t="shared" ca="1" si="74"/>
        <v/>
      </c>
      <c r="B641" s="238" t="str">
        <f t="shared" ca="1" si="75"/>
        <v/>
      </c>
      <c r="C641" s="238" t="str">
        <f t="shared" ca="1" si="76"/>
        <v/>
      </c>
      <c r="D641" s="155">
        <f t="shared" ca="1" si="77"/>
        <v>633</v>
      </c>
      <c r="E641" s="209">
        <f t="shared" ca="1" si="72"/>
        <v>9</v>
      </c>
      <c r="F641" s="10">
        <f t="shared" ca="1" si="78"/>
        <v>65546</v>
      </c>
      <c r="G641" s="156">
        <f t="shared" ca="1" si="79"/>
        <v>3046962.3564111157</v>
      </c>
      <c r="H641" s="156">
        <f ca="1">SUM($G$8:G641)*gamma</f>
        <v>14374782.810773363</v>
      </c>
      <c r="I641" s="23">
        <f ca="1">MAX(0,ROUND($I$7-$H$7-H641-SUM($G$8:G641),0))</f>
        <v>0</v>
      </c>
      <c r="J641" s="208">
        <f t="shared" ca="1" si="73"/>
        <v>633</v>
      </c>
    </row>
    <row r="642" spans="1:10" ht="15.75" customHeight="1" thickBot="1">
      <c r="A642" s="237" t="str">
        <f t="shared" ca="1" si="74"/>
        <v/>
      </c>
      <c r="B642" s="238" t="str">
        <f t="shared" ca="1" si="75"/>
        <v/>
      </c>
      <c r="C642" s="238" t="str">
        <f t="shared" ca="1" si="76"/>
        <v/>
      </c>
      <c r="D642" s="155">
        <f t="shared" ca="1" si="77"/>
        <v>634</v>
      </c>
      <c r="E642" s="209">
        <f t="shared" ca="1" si="72"/>
        <v>10</v>
      </c>
      <c r="F642" s="10">
        <f t="shared" ca="1" si="78"/>
        <v>65576</v>
      </c>
      <c r="G642" s="156">
        <f t="shared" ca="1" si="79"/>
        <v>3046962.3564111157</v>
      </c>
      <c r="H642" s="156">
        <f ca="1">SUM($G$8:G642)*gamma</f>
        <v>14466191.681465695</v>
      </c>
      <c r="I642" s="23">
        <f ca="1">MAX(0,ROUND($I$7-$H$7-H642-SUM($G$8:G642),0))</f>
        <v>0</v>
      </c>
      <c r="J642" s="208">
        <f t="shared" ca="1" si="73"/>
        <v>634</v>
      </c>
    </row>
    <row r="643" spans="1:10" ht="15.75" customHeight="1" thickBot="1">
      <c r="A643" s="237" t="str">
        <f t="shared" ca="1" si="74"/>
        <v/>
      </c>
      <c r="B643" s="238" t="str">
        <f t="shared" ca="1" si="75"/>
        <v/>
      </c>
      <c r="C643" s="238" t="str">
        <f t="shared" ca="1" si="76"/>
        <v/>
      </c>
      <c r="D643" s="155">
        <f t="shared" ca="1" si="77"/>
        <v>635</v>
      </c>
      <c r="E643" s="209">
        <f t="shared" ca="1" si="72"/>
        <v>11</v>
      </c>
      <c r="F643" s="10">
        <f t="shared" ca="1" si="78"/>
        <v>65607</v>
      </c>
      <c r="G643" s="156">
        <f t="shared" ca="1" si="79"/>
        <v>3046962.3564111157</v>
      </c>
      <c r="H643" s="156">
        <f ca="1">SUM($G$8:G643)*gamma</f>
        <v>14557600.552158028</v>
      </c>
      <c r="I643" s="23">
        <f ca="1">MAX(0,ROUND($I$7-$H$7-H643-SUM($G$8:G643),0))</f>
        <v>0</v>
      </c>
      <c r="J643" s="208">
        <f t="shared" ca="1" si="73"/>
        <v>635</v>
      </c>
    </row>
    <row r="644" spans="1:10" ht="15.75" customHeight="1" thickBot="1">
      <c r="A644" s="237" t="str">
        <f t="shared" ca="1" si="74"/>
        <v/>
      </c>
      <c r="B644" s="238" t="str">
        <f t="shared" ca="1" si="75"/>
        <v/>
      </c>
      <c r="C644" s="238" t="str">
        <f t="shared" ca="1" si="76"/>
        <v/>
      </c>
      <c r="D644" s="155">
        <f t="shared" ca="1" si="77"/>
        <v>636</v>
      </c>
      <c r="E644" s="209">
        <f t="shared" ca="1" si="72"/>
        <v>0</v>
      </c>
      <c r="F644" s="10">
        <f t="shared" ca="1" si="78"/>
        <v>65638</v>
      </c>
      <c r="G644" s="156">
        <f t="shared" ca="1" si="79"/>
        <v>3290719.3449240052</v>
      </c>
      <c r="H644" s="156">
        <f ca="1">SUM($G$8:G644)*gamma</f>
        <v>14656322.13250575</v>
      </c>
      <c r="I644" s="23">
        <f ca="1">MAX(0,ROUND($I$7-$H$7-H644-SUM($G$8:G644),0))</f>
        <v>0</v>
      </c>
      <c r="J644" s="208">
        <f t="shared" ca="1" si="73"/>
        <v>636</v>
      </c>
    </row>
    <row r="645" spans="1:10" ht="15.75" customHeight="1" thickBot="1">
      <c r="A645" s="237" t="str">
        <f t="shared" ca="1" si="74"/>
        <v/>
      </c>
      <c r="B645" s="238" t="str">
        <f t="shared" ca="1" si="75"/>
        <v/>
      </c>
      <c r="C645" s="238" t="str">
        <f t="shared" ca="1" si="76"/>
        <v/>
      </c>
      <c r="D645" s="155">
        <f t="shared" ca="1" si="77"/>
        <v>637</v>
      </c>
      <c r="E645" s="209">
        <f t="shared" ca="1" si="72"/>
        <v>1</v>
      </c>
      <c r="F645" s="10">
        <f t="shared" ca="1" si="78"/>
        <v>65668</v>
      </c>
      <c r="G645" s="156">
        <f t="shared" ca="1" si="79"/>
        <v>3290719.3449240052</v>
      </c>
      <c r="H645" s="156">
        <f ca="1">SUM($G$8:G645)*gamma</f>
        <v>14755043.712853471</v>
      </c>
      <c r="I645" s="23">
        <f ca="1">MAX(0,ROUND($I$7-$H$7-H645-SUM($G$8:G645),0))</f>
        <v>0</v>
      </c>
      <c r="J645" s="208">
        <f t="shared" ca="1" si="73"/>
        <v>637</v>
      </c>
    </row>
    <row r="646" spans="1:10" ht="15.75" customHeight="1" thickBot="1">
      <c r="A646" s="237" t="str">
        <f t="shared" ca="1" si="74"/>
        <v/>
      </c>
      <c r="B646" s="238" t="str">
        <f t="shared" ca="1" si="75"/>
        <v/>
      </c>
      <c r="C646" s="238" t="str">
        <f t="shared" ca="1" si="76"/>
        <v/>
      </c>
      <c r="D646" s="155">
        <f t="shared" ca="1" si="77"/>
        <v>638</v>
      </c>
      <c r="E646" s="209">
        <f t="shared" ca="1" si="72"/>
        <v>2</v>
      </c>
      <c r="F646" s="10">
        <f t="shared" ca="1" si="78"/>
        <v>65699</v>
      </c>
      <c r="G646" s="156">
        <f t="shared" ca="1" si="79"/>
        <v>3290719.3449240052</v>
      </c>
      <c r="H646" s="156">
        <f ca="1">SUM($G$8:G646)*gamma</f>
        <v>14853765.293201191</v>
      </c>
      <c r="I646" s="23">
        <f ca="1">MAX(0,ROUND($I$7-$H$7-H646-SUM($G$8:G646),0))</f>
        <v>0</v>
      </c>
      <c r="J646" s="208">
        <f t="shared" ca="1" si="73"/>
        <v>638</v>
      </c>
    </row>
    <row r="647" spans="1:10" ht="15.75" customHeight="1" thickBot="1">
      <c r="A647" s="237" t="str">
        <f t="shared" ca="1" si="74"/>
        <v/>
      </c>
      <c r="B647" s="238" t="str">
        <f t="shared" ca="1" si="75"/>
        <v/>
      </c>
      <c r="C647" s="238" t="str">
        <f t="shared" ca="1" si="76"/>
        <v/>
      </c>
      <c r="D647" s="155">
        <f t="shared" ca="1" si="77"/>
        <v>639</v>
      </c>
      <c r="E647" s="209">
        <f t="shared" ca="1" si="72"/>
        <v>3</v>
      </c>
      <c r="F647" s="10">
        <f t="shared" ca="1" si="78"/>
        <v>65729</v>
      </c>
      <c r="G647" s="156">
        <f t="shared" ca="1" si="79"/>
        <v>3290719.3449240052</v>
      </c>
      <c r="H647" s="156">
        <f ca="1">SUM($G$8:G647)*gamma</f>
        <v>14952486.873548912</v>
      </c>
      <c r="I647" s="23">
        <f ca="1">MAX(0,ROUND($I$7-$H$7-H647-SUM($G$8:G647),0))</f>
        <v>0</v>
      </c>
      <c r="J647" s="208">
        <f t="shared" ca="1" si="73"/>
        <v>639</v>
      </c>
    </row>
    <row r="648" spans="1:10" ht="15.75" customHeight="1" thickBot="1">
      <c r="A648" s="237" t="str">
        <f t="shared" ca="1" si="74"/>
        <v/>
      </c>
      <c r="B648" s="238" t="str">
        <f t="shared" ca="1" si="75"/>
        <v/>
      </c>
      <c r="C648" s="238" t="str">
        <f t="shared" ca="1" si="76"/>
        <v/>
      </c>
      <c r="D648" s="155">
        <f t="shared" ca="1" si="77"/>
        <v>640</v>
      </c>
      <c r="E648" s="209">
        <f t="shared" ref="E648:E711" ca="1" si="80">MOD(J648,12)</f>
        <v>4</v>
      </c>
      <c r="F648" s="10">
        <f t="shared" ca="1" si="78"/>
        <v>65760</v>
      </c>
      <c r="G648" s="156">
        <f t="shared" ca="1" si="79"/>
        <v>3290719.3449240052</v>
      </c>
      <c r="H648" s="156">
        <f ca="1">SUM($G$8:G648)*gamma</f>
        <v>15051208.453896634</v>
      </c>
      <c r="I648" s="23">
        <f ca="1">MAX(0,ROUND($I$7-$H$7-H648-SUM($G$8:G648),0))</f>
        <v>0</v>
      </c>
      <c r="J648" s="208">
        <f t="shared" ref="J648:J711" ca="1" si="81">IF(G647&gt;0,1+J647,0)</f>
        <v>640</v>
      </c>
    </row>
    <row r="649" spans="1:10" ht="15.75" customHeight="1" thickBot="1">
      <c r="A649" s="237" t="str">
        <f t="shared" ref="A649:A712" ca="1" si="82">IF(d_plast&gt;=F649,F649,"")</f>
        <v/>
      </c>
      <c r="B649" s="238" t="str">
        <f t="shared" ref="B649:B712" ca="1" si="83">IF(A649="","",ROUND(G649,0))</f>
        <v/>
      </c>
      <c r="C649" s="238" t="str">
        <f t="shared" ref="C649:C712" ca="1" si="84">IF(A649&lt;&gt;"",IF(end=2,IF(D649&lt;24,0,I649),I649),"")</f>
        <v/>
      </c>
      <c r="D649" s="155">
        <f t="shared" ref="D649:D712" ca="1" si="85">D648+freq_2</f>
        <v>641</v>
      </c>
      <c r="E649" s="209">
        <f t="shared" ca="1" si="80"/>
        <v>5</v>
      </c>
      <c r="F649" s="10">
        <f t="shared" ref="F649:F712" ca="1" si="86">EDATE($F$8,D649)</f>
        <v>65791</v>
      </c>
      <c r="G649" s="156">
        <f t="shared" ref="G649:G712" ca="1" si="87">IF(A649&lt;d_begin,0,IF(G648=0,Ben,IF(E649=0,G648*(1+index),G648)))</f>
        <v>3290719.3449240052</v>
      </c>
      <c r="H649" s="156">
        <f ca="1">SUM($G$8:G649)*gamma</f>
        <v>15149930.034244355</v>
      </c>
      <c r="I649" s="23">
        <f ca="1">MAX(0,ROUND($I$7-$H$7-H649-SUM($G$8:G649),0))</f>
        <v>0</v>
      </c>
      <c r="J649" s="208">
        <f t="shared" ca="1" si="81"/>
        <v>641</v>
      </c>
    </row>
    <row r="650" spans="1:10" ht="15.75" customHeight="1" thickBot="1">
      <c r="A650" s="237" t="str">
        <f t="shared" ca="1" si="82"/>
        <v/>
      </c>
      <c r="B650" s="238" t="str">
        <f t="shared" ca="1" si="83"/>
        <v/>
      </c>
      <c r="C650" s="238" t="str">
        <f t="shared" ca="1" si="84"/>
        <v/>
      </c>
      <c r="D650" s="155">
        <f t="shared" ca="1" si="85"/>
        <v>642</v>
      </c>
      <c r="E650" s="209">
        <f t="shared" ca="1" si="80"/>
        <v>6</v>
      </c>
      <c r="F650" s="10">
        <f t="shared" ca="1" si="86"/>
        <v>65820</v>
      </c>
      <c r="G650" s="156">
        <f t="shared" ca="1" si="87"/>
        <v>3290719.3449240052</v>
      </c>
      <c r="H650" s="156">
        <f ca="1">SUM($G$8:G650)*gamma</f>
        <v>15248651.614592075</v>
      </c>
      <c r="I650" s="23">
        <f ca="1">MAX(0,ROUND($I$7-$H$7-H650-SUM($G$8:G650),0))</f>
        <v>0</v>
      </c>
      <c r="J650" s="208">
        <f t="shared" ca="1" si="81"/>
        <v>642</v>
      </c>
    </row>
    <row r="651" spans="1:10" ht="15.75" customHeight="1" thickBot="1">
      <c r="A651" s="237" t="str">
        <f t="shared" ca="1" si="82"/>
        <v/>
      </c>
      <c r="B651" s="238" t="str">
        <f t="shared" ca="1" si="83"/>
        <v/>
      </c>
      <c r="C651" s="238" t="str">
        <f t="shared" ca="1" si="84"/>
        <v/>
      </c>
      <c r="D651" s="155">
        <f t="shared" ca="1" si="85"/>
        <v>643</v>
      </c>
      <c r="E651" s="209">
        <f t="shared" ca="1" si="80"/>
        <v>7</v>
      </c>
      <c r="F651" s="10">
        <f t="shared" ca="1" si="86"/>
        <v>65851</v>
      </c>
      <c r="G651" s="156">
        <f t="shared" ca="1" si="87"/>
        <v>3290719.3449240052</v>
      </c>
      <c r="H651" s="156">
        <f ca="1">SUM($G$8:G651)*gamma</f>
        <v>15347373.194939796</v>
      </c>
      <c r="I651" s="23">
        <f ca="1">MAX(0,ROUND($I$7-$H$7-H651-SUM($G$8:G651),0))</f>
        <v>0</v>
      </c>
      <c r="J651" s="208">
        <f t="shared" ca="1" si="81"/>
        <v>643</v>
      </c>
    </row>
    <row r="652" spans="1:10" ht="15.75" customHeight="1" thickBot="1">
      <c r="A652" s="237" t="str">
        <f t="shared" ca="1" si="82"/>
        <v/>
      </c>
      <c r="B652" s="238" t="str">
        <f t="shared" ca="1" si="83"/>
        <v/>
      </c>
      <c r="C652" s="238" t="str">
        <f t="shared" ca="1" si="84"/>
        <v/>
      </c>
      <c r="D652" s="155">
        <f t="shared" ca="1" si="85"/>
        <v>644</v>
      </c>
      <c r="E652" s="209">
        <f t="shared" ca="1" si="80"/>
        <v>8</v>
      </c>
      <c r="F652" s="10">
        <f t="shared" ca="1" si="86"/>
        <v>65881</v>
      </c>
      <c r="G652" s="156">
        <f t="shared" ca="1" si="87"/>
        <v>3290719.3449240052</v>
      </c>
      <c r="H652" s="156">
        <f ca="1">SUM($G$8:G652)*gamma</f>
        <v>15446094.775287516</v>
      </c>
      <c r="I652" s="23">
        <f ca="1">MAX(0,ROUND($I$7-$H$7-H652-SUM($G$8:G652),0))</f>
        <v>0</v>
      </c>
      <c r="J652" s="208">
        <f t="shared" ca="1" si="81"/>
        <v>644</v>
      </c>
    </row>
    <row r="653" spans="1:10" ht="15.75" customHeight="1" thickBot="1">
      <c r="A653" s="237" t="str">
        <f t="shared" ca="1" si="82"/>
        <v/>
      </c>
      <c r="B653" s="238" t="str">
        <f t="shared" ca="1" si="83"/>
        <v/>
      </c>
      <c r="C653" s="238" t="str">
        <f t="shared" ca="1" si="84"/>
        <v/>
      </c>
      <c r="D653" s="155">
        <f t="shared" ca="1" si="85"/>
        <v>645</v>
      </c>
      <c r="E653" s="209">
        <f t="shared" ca="1" si="80"/>
        <v>9</v>
      </c>
      <c r="F653" s="10">
        <f t="shared" ca="1" si="86"/>
        <v>65912</v>
      </c>
      <c r="G653" s="156">
        <f t="shared" ca="1" si="87"/>
        <v>3290719.3449240052</v>
      </c>
      <c r="H653" s="156">
        <f ca="1">SUM($G$8:G653)*gamma</f>
        <v>15544816.355635239</v>
      </c>
      <c r="I653" s="23">
        <f ca="1">MAX(0,ROUND($I$7-$H$7-H653-SUM($G$8:G653),0))</f>
        <v>0</v>
      </c>
      <c r="J653" s="208">
        <f t="shared" ca="1" si="81"/>
        <v>645</v>
      </c>
    </row>
    <row r="654" spans="1:10" ht="15.75" customHeight="1" thickBot="1">
      <c r="A654" s="237" t="str">
        <f t="shared" ca="1" si="82"/>
        <v/>
      </c>
      <c r="B654" s="238" t="str">
        <f t="shared" ca="1" si="83"/>
        <v/>
      </c>
      <c r="C654" s="238" t="str">
        <f t="shared" ca="1" si="84"/>
        <v/>
      </c>
      <c r="D654" s="155">
        <f t="shared" ca="1" si="85"/>
        <v>646</v>
      </c>
      <c r="E654" s="209">
        <f t="shared" ca="1" si="80"/>
        <v>10</v>
      </c>
      <c r="F654" s="10">
        <f t="shared" ca="1" si="86"/>
        <v>65942</v>
      </c>
      <c r="G654" s="156">
        <f t="shared" ca="1" si="87"/>
        <v>3290719.3449240052</v>
      </c>
      <c r="H654" s="156">
        <f ca="1">SUM($G$8:G654)*gamma</f>
        <v>15643537.935982959</v>
      </c>
      <c r="I654" s="23">
        <f ca="1">MAX(0,ROUND($I$7-$H$7-H654-SUM($G$8:G654),0))</f>
        <v>0</v>
      </c>
      <c r="J654" s="208">
        <f t="shared" ca="1" si="81"/>
        <v>646</v>
      </c>
    </row>
    <row r="655" spans="1:10" ht="15.75" customHeight="1" thickBot="1">
      <c r="A655" s="237" t="str">
        <f t="shared" ca="1" si="82"/>
        <v/>
      </c>
      <c r="B655" s="238" t="str">
        <f t="shared" ca="1" si="83"/>
        <v/>
      </c>
      <c r="C655" s="238" t="str">
        <f t="shared" ca="1" si="84"/>
        <v/>
      </c>
      <c r="D655" s="155">
        <f t="shared" ca="1" si="85"/>
        <v>647</v>
      </c>
      <c r="E655" s="209">
        <f t="shared" ca="1" si="80"/>
        <v>11</v>
      </c>
      <c r="F655" s="10">
        <f t="shared" ca="1" si="86"/>
        <v>65973</v>
      </c>
      <c r="G655" s="156">
        <f t="shared" ca="1" si="87"/>
        <v>3290719.3449240052</v>
      </c>
      <c r="H655" s="156">
        <f ca="1">SUM($G$8:G655)*gamma</f>
        <v>15742259.51633068</v>
      </c>
      <c r="I655" s="23">
        <f ca="1">MAX(0,ROUND($I$7-$H$7-H655-SUM($G$8:G655),0))</f>
        <v>0</v>
      </c>
      <c r="J655" s="208">
        <f t="shared" ca="1" si="81"/>
        <v>647</v>
      </c>
    </row>
    <row r="656" spans="1:10" ht="15.75" customHeight="1" thickBot="1">
      <c r="A656" s="237" t="str">
        <f t="shared" ca="1" si="82"/>
        <v/>
      </c>
      <c r="B656" s="238" t="str">
        <f t="shared" ca="1" si="83"/>
        <v/>
      </c>
      <c r="C656" s="238" t="str">
        <f t="shared" ca="1" si="84"/>
        <v/>
      </c>
      <c r="D656" s="155">
        <f t="shared" ca="1" si="85"/>
        <v>648</v>
      </c>
      <c r="E656" s="209">
        <f t="shared" ca="1" si="80"/>
        <v>0</v>
      </c>
      <c r="F656" s="10">
        <f t="shared" ca="1" si="86"/>
        <v>66004</v>
      </c>
      <c r="G656" s="156">
        <f t="shared" ca="1" si="87"/>
        <v>3553976.8925179257</v>
      </c>
      <c r="H656" s="156">
        <f ca="1">SUM($G$8:G656)*gamma</f>
        <v>15848878.823106218</v>
      </c>
      <c r="I656" s="23">
        <f ca="1">MAX(0,ROUND($I$7-$H$7-H656-SUM($G$8:G656),0))</f>
        <v>0</v>
      </c>
      <c r="J656" s="208">
        <f t="shared" ca="1" si="81"/>
        <v>648</v>
      </c>
    </row>
    <row r="657" spans="1:10" ht="15.75" customHeight="1" thickBot="1">
      <c r="A657" s="237" t="str">
        <f t="shared" ca="1" si="82"/>
        <v/>
      </c>
      <c r="B657" s="238" t="str">
        <f t="shared" ca="1" si="83"/>
        <v/>
      </c>
      <c r="C657" s="238" t="str">
        <f t="shared" ca="1" si="84"/>
        <v/>
      </c>
      <c r="D657" s="155">
        <f t="shared" ca="1" si="85"/>
        <v>649</v>
      </c>
      <c r="E657" s="209">
        <f t="shared" ca="1" si="80"/>
        <v>1</v>
      </c>
      <c r="F657" s="10">
        <f t="shared" ca="1" si="86"/>
        <v>66034</v>
      </c>
      <c r="G657" s="156">
        <f t="shared" ca="1" si="87"/>
        <v>3553976.8925179257</v>
      </c>
      <c r="H657" s="156">
        <f ca="1">SUM($G$8:G657)*gamma</f>
        <v>15955498.129881756</v>
      </c>
      <c r="I657" s="23">
        <f ca="1">MAX(0,ROUND($I$7-$H$7-H657-SUM($G$8:G657),0))</f>
        <v>0</v>
      </c>
      <c r="J657" s="208">
        <f t="shared" ca="1" si="81"/>
        <v>649</v>
      </c>
    </row>
    <row r="658" spans="1:10" ht="15.75" customHeight="1" thickBot="1">
      <c r="A658" s="237" t="str">
        <f t="shared" ca="1" si="82"/>
        <v/>
      </c>
      <c r="B658" s="238" t="str">
        <f t="shared" ca="1" si="83"/>
        <v/>
      </c>
      <c r="C658" s="238" t="str">
        <f t="shared" ca="1" si="84"/>
        <v/>
      </c>
      <c r="D658" s="155">
        <f t="shared" ca="1" si="85"/>
        <v>650</v>
      </c>
      <c r="E658" s="209">
        <f t="shared" ca="1" si="80"/>
        <v>2</v>
      </c>
      <c r="F658" s="10">
        <f t="shared" ca="1" si="86"/>
        <v>66065</v>
      </c>
      <c r="G658" s="156">
        <f t="shared" ca="1" si="87"/>
        <v>3553976.8925179257</v>
      </c>
      <c r="H658" s="156">
        <f ca="1">SUM($G$8:G658)*gamma</f>
        <v>16062117.436657293</v>
      </c>
      <c r="I658" s="23">
        <f ca="1">MAX(0,ROUND($I$7-$H$7-H658-SUM($G$8:G658),0))</f>
        <v>0</v>
      </c>
      <c r="J658" s="208">
        <f t="shared" ca="1" si="81"/>
        <v>650</v>
      </c>
    </row>
    <row r="659" spans="1:10" ht="15.75" customHeight="1" thickBot="1">
      <c r="A659" s="237" t="str">
        <f t="shared" ca="1" si="82"/>
        <v/>
      </c>
      <c r="B659" s="238" t="str">
        <f t="shared" ca="1" si="83"/>
        <v/>
      </c>
      <c r="C659" s="238" t="str">
        <f t="shared" ca="1" si="84"/>
        <v/>
      </c>
      <c r="D659" s="155">
        <f t="shared" ca="1" si="85"/>
        <v>651</v>
      </c>
      <c r="E659" s="209">
        <f t="shared" ca="1" si="80"/>
        <v>3</v>
      </c>
      <c r="F659" s="10">
        <f t="shared" ca="1" si="86"/>
        <v>66095</v>
      </c>
      <c r="G659" s="156">
        <f t="shared" ca="1" si="87"/>
        <v>3553976.8925179257</v>
      </c>
      <c r="H659" s="156">
        <f ca="1">SUM($G$8:G659)*gamma</f>
        <v>16168736.743432831</v>
      </c>
      <c r="I659" s="23">
        <f ca="1">MAX(0,ROUND($I$7-$H$7-H659-SUM($G$8:G659),0))</f>
        <v>0</v>
      </c>
      <c r="J659" s="208">
        <f t="shared" ca="1" si="81"/>
        <v>651</v>
      </c>
    </row>
    <row r="660" spans="1:10" ht="15.75" customHeight="1" thickBot="1">
      <c r="A660" s="237" t="str">
        <f t="shared" ca="1" si="82"/>
        <v/>
      </c>
      <c r="B660" s="238" t="str">
        <f t="shared" ca="1" si="83"/>
        <v/>
      </c>
      <c r="C660" s="238" t="str">
        <f t="shared" ca="1" si="84"/>
        <v/>
      </c>
      <c r="D660" s="155">
        <f t="shared" ca="1" si="85"/>
        <v>652</v>
      </c>
      <c r="E660" s="209">
        <f t="shared" ca="1" si="80"/>
        <v>4</v>
      </c>
      <c r="F660" s="10">
        <f t="shared" ca="1" si="86"/>
        <v>66126</v>
      </c>
      <c r="G660" s="156">
        <f t="shared" ca="1" si="87"/>
        <v>3553976.8925179257</v>
      </c>
      <c r="H660" s="156">
        <f ca="1">SUM($G$8:G660)*gamma</f>
        <v>16275356.050208369</v>
      </c>
      <c r="I660" s="23">
        <f ca="1">MAX(0,ROUND($I$7-$H$7-H660-SUM($G$8:G660),0))</f>
        <v>0</v>
      </c>
      <c r="J660" s="208">
        <f t="shared" ca="1" si="81"/>
        <v>652</v>
      </c>
    </row>
    <row r="661" spans="1:10" ht="15.75" customHeight="1" thickBot="1">
      <c r="A661" s="237" t="str">
        <f t="shared" ca="1" si="82"/>
        <v/>
      </c>
      <c r="B661" s="238" t="str">
        <f t="shared" ca="1" si="83"/>
        <v/>
      </c>
      <c r="C661" s="238" t="str">
        <f t="shared" ca="1" si="84"/>
        <v/>
      </c>
      <c r="D661" s="155">
        <f t="shared" ca="1" si="85"/>
        <v>653</v>
      </c>
      <c r="E661" s="209">
        <f t="shared" ca="1" si="80"/>
        <v>5</v>
      </c>
      <c r="F661" s="10">
        <f t="shared" ca="1" si="86"/>
        <v>66157</v>
      </c>
      <c r="G661" s="156">
        <f t="shared" ca="1" si="87"/>
        <v>3553976.8925179257</v>
      </c>
      <c r="H661" s="156">
        <f ca="1">SUM($G$8:G661)*gamma</f>
        <v>16381975.356983908</v>
      </c>
      <c r="I661" s="23">
        <f ca="1">MAX(0,ROUND($I$7-$H$7-H661-SUM($G$8:G661),0))</f>
        <v>0</v>
      </c>
      <c r="J661" s="208">
        <f t="shared" ca="1" si="81"/>
        <v>653</v>
      </c>
    </row>
    <row r="662" spans="1:10" ht="15.75" customHeight="1" thickBot="1">
      <c r="A662" s="237" t="str">
        <f t="shared" ca="1" si="82"/>
        <v/>
      </c>
      <c r="B662" s="238" t="str">
        <f t="shared" ca="1" si="83"/>
        <v/>
      </c>
      <c r="C662" s="238" t="str">
        <f t="shared" ca="1" si="84"/>
        <v/>
      </c>
      <c r="D662" s="155">
        <f t="shared" ca="1" si="85"/>
        <v>654</v>
      </c>
      <c r="E662" s="209">
        <f t="shared" ca="1" si="80"/>
        <v>6</v>
      </c>
      <c r="F662" s="10">
        <f t="shared" ca="1" si="86"/>
        <v>66185</v>
      </c>
      <c r="G662" s="156">
        <f t="shared" ca="1" si="87"/>
        <v>3553976.8925179257</v>
      </c>
      <c r="H662" s="156">
        <f ca="1">SUM($G$8:G662)*gamma</f>
        <v>16488594.663759444</v>
      </c>
      <c r="I662" s="23">
        <f ca="1">MAX(0,ROUND($I$7-$H$7-H662-SUM($G$8:G662),0))</f>
        <v>0</v>
      </c>
      <c r="J662" s="208">
        <f t="shared" ca="1" si="81"/>
        <v>654</v>
      </c>
    </row>
    <row r="663" spans="1:10" ht="15.75" customHeight="1" thickBot="1">
      <c r="A663" s="237" t="str">
        <f t="shared" ca="1" si="82"/>
        <v/>
      </c>
      <c r="B663" s="238" t="str">
        <f t="shared" ca="1" si="83"/>
        <v/>
      </c>
      <c r="C663" s="238" t="str">
        <f t="shared" ca="1" si="84"/>
        <v/>
      </c>
      <c r="D663" s="155">
        <f t="shared" ca="1" si="85"/>
        <v>655</v>
      </c>
      <c r="E663" s="209">
        <f t="shared" ca="1" si="80"/>
        <v>7</v>
      </c>
      <c r="F663" s="10">
        <f t="shared" ca="1" si="86"/>
        <v>66216</v>
      </c>
      <c r="G663" s="156">
        <f t="shared" ca="1" si="87"/>
        <v>3553976.8925179257</v>
      </c>
      <c r="H663" s="156">
        <f ca="1">SUM($G$8:G663)*gamma</f>
        <v>16595213.970534982</v>
      </c>
      <c r="I663" s="23">
        <f ca="1">MAX(0,ROUND($I$7-$H$7-H663-SUM($G$8:G663),0))</f>
        <v>0</v>
      </c>
      <c r="J663" s="208">
        <f t="shared" ca="1" si="81"/>
        <v>655</v>
      </c>
    </row>
    <row r="664" spans="1:10" ht="15.75" customHeight="1" thickBot="1">
      <c r="A664" s="237" t="str">
        <f t="shared" ca="1" si="82"/>
        <v/>
      </c>
      <c r="B664" s="238" t="str">
        <f t="shared" ca="1" si="83"/>
        <v/>
      </c>
      <c r="C664" s="238" t="str">
        <f t="shared" ca="1" si="84"/>
        <v/>
      </c>
      <c r="D664" s="155">
        <f t="shared" ca="1" si="85"/>
        <v>656</v>
      </c>
      <c r="E664" s="209">
        <f t="shared" ca="1" si="80"/>
        <v>8</v>
      </c>
      <c r="F664" s="10">
        <f t="shared" ca="1" si="86"/>
        <v>66246</v>
      </c>
      <c r="G664" s="156">
        <f t="shared" ca="1" si="87"/>
        <v>3553976.8925179257</v>
      </c>
      <c r="H664" s="156">
        <f ca="1">SUM($G$8:G664)*gamma</f>
        <v>16701833.27731052</v>
      </c>
      <c r="I664" s="23">
        <f ca="1">MAX(0,ROUND($I$7-$H$7-H664-SUM($G$8:G664),0))</f>
        <v>0</v>
      </c>
      <c r="J664" s="208">
        <f t="shared" ca="1" si="81"/>
        <v>656</v>
      </c>
    </row>
    <row r="665" spans="1:10" ht="15.75" customHeight="1" thickBot="1">
      <c r="A665" s="237" t="str">
        <f t="shared" ca="1" si="82"/>
        <v/>
      </c>
      <c r="B665" s="238" t="str">
        <f t="shared" ca="1" si="83"/>
        <v/>
      </c>
      <c r="C665" s="238" t="str">
        <f t="shared" ca="1" si="84"/>
        <v/>
      </c>
      <c r="D665" s="155">
        <f t="shared" ca="1" si="85"/>
        <v>657</v>
      </c>
      <c r="E665" s="209">
        <f t="shared" ca="1" si="80"/>
        <v>9</v>
      </c>
      <c r="F665" s="10">
        <f t="shared" ca="1" si="86"/>
        <v>66277</v>
      </c>
      <c r="G665" s="156">
        <f t="shared" ca="1" si="87"/>
        <v>3553976.8925179257</v>
      </c>
      <c r="H665" s="156">
        <f ca="1">SUM($G$8:G665)*gamma</f>
        <v>16808452.584086057</v>
      </c>
      <c r="I665" s="23">
        <f ca="1">MAX(0,ROUND($I$7-$H$7-H665-SUM($G$8:G665),0))</f>
        <v>0</v>
      </c>
      <c r="J665" s="208">
        <f t="shared" ca="1" si="81"/>
        <v>657</v>
      </c>
    </row>
    <row r="666" spans="1:10" ht="15.75" customHeight="1" thickBot="1">
      <c r="A666" s="237" t="str">
        <f t="shared" ca="1" si="82"/>
        <v/>
      </c>
      <c r="B666" s="238" t="str">
        <f t="shared" ca="1" si="83"/>
        <v/>
      </c>
      <c r="C666" s="238" t="str">
        <f t="shared" ca="1" si="84"/>
        <v/>
      </c>
      <c r="D666" s="155">
        <f t="shared" ca="1" si="85"/>
        <v>658</v>
      </c>
      <c r="E666" s="209">
        <f t="shared" ca="1" si="80"/>
        <v>10</v>
      </c>
      <c r="F666" s="10">
        <f t="shared" ca="1" si="86"/>
        <v>66307</v>
      </c>
      <c r="G666" s="156">
        <f t="shared" ca="1" si="87"/>
        <v>3553976.8925179257</v>
      </c>
      <c r="H666" s="156">
        <f ca="1">SUM($G$8:G666)*gamma</f>
        <v>16915071.890861597</v>
      </c>
      <c r="I666" s="23">
        <f ca="1">MAX(0,ROUND($I$7-$H$7-H666-SUM($G$8:G666),0))</f>
        <v>0</v>
      </c>
      <c r="J666" s="208">
        <f t="shared" ca="1" si="81"/>
        <v>658</v>
      </c>
    </row>
    <row r="667" spans="1:10" ht="15.75" customHeight="1" thickBot="1">
      <c r="A667" s="237" t="str">
        <f t="shared" ca="1" si="82"/>
        <v/>
      </c>
      <c r="B667" s="238" t="str">
        <f t="shared" ca="1" si="83"/>
        <v/>
      </c>
      <c r="C667" s="238" t="str">
        <f t="shared" ca="1" si="84"/>
        <v/>
      </c>
      <c r="D667" s="155">
        <f t="shared" ca="1" si="85"/>
        <v>659</v>
      </c>
      <c r="E667" s="209">
        <f t="shared" ca="1" si="80"/>
        <v>11</v>
      </c>
      <c r="F667" s="10">
        <f t="shared" ca="1" si="86"/>
        <v>66338</v>
      </c>
      <c r="G667" s="156">
        <f t="shared" ca="1" si="87"/>
        <v>3553976.8925179257</v>
      </c>
      <c r="H667" s="156">
        <f ca="1">SUM($G$8:G667)*gamma</f>
        <v>17021691.197637133</v>
      </c>
      <c r="I667" s="23">
        <f ca="1">MAX(0,ROUND($I$7-$H$7-H667-SUM($G$8:G667),0))</f>
        <v>0</v>
      </c>
      <c r="J667" s="208">
        <f t="shared" ca="1" si="81"/>
        <v>659</v>
      </c>
    </row>
    <row r="668" spans="1:10" ht="15.75" customHeight="1" thickBot="1">
      <c r="A668" s="237" t="str">
        <f t="shared" ca="1" si="82"/>
        <v/>
      </c>
      <c r="B668" s="238" t="str">
        <f t="shared" ca="1" si="83"/>
        <v/>
      </c>
      <c r="C668" s="238" t="str">
        <f t="shared" ca="1" si="84"/>
        <v/>
      </c>
      <c r="D668" s="155">
        <f t="shared" ca="1" si="85"/>
        <v>660</v>
      </c>
      <c r="E668" s="209">
        <f t="shared" ca="1" si="80"/>
        <v>0</v>
      </c>
      <c r="F668" s="10">
        <f t="shared" ca="1" si="86"/>
        <v>66369</v>
      </c>
      <c r="G668" s="156">
        <f t="shared" ca="1" si="87"/>
        <v>3838295.0439193598</v>
      </c>
      <c r="H668" s="156">
        <f ca="1">SUM($G$8:G668)*gamma</f>
        <v>17136840.048954714</v>
      </c>
      <c r="I668" s="23">
        <f ca="1">MAX(0,ROUND($I$7-$H$7-H668-SUM($G$8:G668),0))</f>
        <v>0</v>
      </c>
      <c r="J668" s="208">
        <f t="shared" ca="1" si="81"/>
        <v>660</v>
      </c>
    </row>
    <row r="669" spans="1:10" ht="15.75" customHeight="1" thickBot="1">
      <c r="A669" s="237" t="str">
        <f t="shared" ca="1" si="82"/>
        <v/>
      </c>
      <c r="B669" s="238" t="str">
        <f t="shared" ca="1" si="83"/>
        <v/>
      </c>
      <c r="C669" s="238" t="str">
        <f t="shared" ca="1" si="84"/>
        <v/>
      </c>
      <c r="D669" s="155">
        <f t="shared" ca="1" si="85"/>
        <v>661</v>
      </c>
      <c r="E669" s="209">
        <f t="shared" ca="1" si="80"/>
        <v>1</v>
      </c>
      <c r="F669" s="10">
        <f t="shared" ca="1" si="86"/>
        <v>66399</v>
      </c>
      <c r="G669" s="156">
        <f t="shared" ca="1" si="87"/>
        <v>3838295.0439193598</v>
      </c>
      <c r="H669" s="156">
        <f ca="1">SUM($G$8:G669)*gamma</f>
        <v>17251988.900272291</v>
      </c>
      <c r="I669" s="23">
        <f ca="1">MAX(0,ROUND($I$7-$H$7-H669-SUM($G$8:G669),0))</f>
        <v>0</v>
      </c>
      <c r="J669" s="208">
        <f t="shared" ca="1" si="81"/>
        <v>661</v>
      </c>
    </row>
    <row r="670" spans="1:10" ht="15.75" customHeight="1" thickBot="1">
      <c r="A670" s="237" t="str">
        <f t="shared" ca="1" si="82"/>
        <v/>
      </c>
      <c r="B670" s="238" t="str">
        <f t="shared" ca="1" si="83"/>
        <v/>
      </c>
      <c r="C670" s="238" t="str">
        <f t="shared" ca="1" si="84"/>
        <v/>
      </c>
      <c r="D670" s="155">
        <f t="shared" ca="1" si="85"/>
        <v>662</v>
      </c>
      <c r="E670" s="209">
        <f t="shared" ca="1" si="80"/>
        <v>2</v>
      </c>
      <c r="F670" s="10">
        <f t="shared" ca="1" si="86"/>
        <v>66430</v>
      </c>
      <c r="G670" s="156">
        <f t="shared" ca="1" si="87"/>
        <v>3838295.0439193598</v>
      </c>
      <c r="H670" s="156">
        <f ca="1">SUM($G$8:G670)*gamma</f>
        <v>17367137.751589872</v>
      </c>
      <c r="I670" s="23">
        <f ca="1">MAX(0,ROUND($I$7-$H$7-H670-SUM($G$8:G670),0))</f>
        <v>0</v>
      </c>
      <c r="J670" s="208">
        <f t="shared" ca="1" si="81"/>
        <v>662</v>
      </c>
    </row>
    <row r="671" spans="1:10" ht="15.75" customHeight="1" thickBot="1">
      <c r="A671" s="237" t="str">
        <f t="shared" ca="1" si="82"/>
        <v/>
      </c>
      <c r="B671" s="238" t="str">
        <f t="shared" ca="1" si="83"/>
        <v/>
      </c>
      <c r="C671" s="238" t="str">
        <f t="shared" ca="1" si="84"/>
        <v/>
      </c>
      <c r="D671" s="155">
        <f t="shared" ca="1" si="85"/>
        <v>663</v>
      </c>
      <c r="E671" s="209">
        <f t="shared" ca="1" si="80"/>
        <v>3</v>
      </c>
      <c r="F671" s="10">
        <f t="shared" ca="1" si="86"/>
        <v>66460</v>
      </c>
      <c r="G671" s="156">
        <f t="shared" ca="1" si="87"/>
        <v>3838295.0439193598</v>
      </c>
      <c r="H671" s="156">
        <f ca="1">SUM($G$8:G671)*gamma</f>
        <v>17482286.602907453</v>
      </c>
      <c r="I671" s="23">
        <f ca="1">MAX(0,ROUND($I$7-$H$7-H671-SUM($G$8:G671),0))</f>
        <v>0</v>
      </c>
      <c r="J671" s="208">
        <f t="shared" ca="1" si="81"/>
        <v>663</v>
      </c>
    </row>
    <row r="672" spans="1:10" ht="15.75" customHeight="1" thickBot="1">
      <c r="A672" s="237" t="str">
        <f t="shared" ca="1" si="82"/>
        <v/>
      </c>
      <c r="B672" s="238" t="str">
        <f t="shared" ca="1" si="83"/>
        <v/>
      </c>
      <c r="C672" s="238" t="str">
        <f t="shared" ca="1" si="84"/>
        <v/>
      </c>
      <c r="D672" s="155">
        <f t="shared" ca="1" si="85"/>
        <v>664</v>
      </c>
      <c r="E672" s="209">
        <f t="shared" ca="1" si="80"/>
        <v>4</v>
      </c>
      <c r="F672" s="10">
        <f t="shared" ca="1" si="86"/>
        <v>66491</v>
      </c>
      <c r="G672" s="156">
        <f t="shared" ca="1" si="87"/>
        <v>3838295.0439193598</v>
      </c>
      <c r="H672" s="156">
        <f ca="1">SUM($G$8:G672)*gamma</f>
        <v>17597435.454225034</v>
      </c>
      <c r="I672" s="23">
        <f ca="1">MAX(0,ROUND($I$7-$H$7-H672-SUM($G$8:G672),0))</f>
        <v>0</v>
      </c>
      <c r="J672" s="208">
        <f t="shared" ca="1" si="81"/>
        <v>664</v>
      </c>
    </row>
    <row r="673" spans="1:10" ht="15.75" customHeight="1" thickBot="1">
      <c r="A673" s="237" t="str">
        <f t="shared" ca="1" si="82"/>
        <v/>
      </c>
      <c r="B673" s="238" t="str">
        <f t="shared" ca="1" si="83"/>
        <v/>
      </c>
      <c r="C673" s="238" t="str">
        <f t="shared" ca="1" si="84"/>
        <v/>
      </c>
      <c r="D673" s="155">
        <f t="shared" ca="1" si="85"/>
        <v>665</v>
      </c>
      <c r="E673" s="209">
        <f t="shared" ca="1" si="80"/>
        <v>5</v>
      </c>
      <c r="F673" s="10">
        <f t="shared" ca="1" si="86"/>
        <v>66522</v>
      </c>
      <c r="G673" s="156">
        <f t="shared" ca="1" si="87"/>
        <v>3838295.0439193598</v>
      </c>
      <c r="H673" s="156">
        <f ca="1">SUM($G$8:G673)*gamma</f>
        <v>17712584.305542611</v>
      </c>
      <c r="I673" s="23">
        <f ca="1">MAX(0,ROUND($I$7-$H$7-H673-SUM($G$8:G673),0))</f>
        <v>0</v>
      </c>
      <c r="J673" s="208">
        <f t="shared" ca="1" si="81"/>
        <v>665</v>
      </c>
    </row>
    <row r="674" spans="1:10" ht="15.75" customHeight="1" thickBot="1">
      <c r="A674" s="237" t="str">
        <f t="shared" ca="1" si="82"/>
        <v/>
      </c>
      <c r="B674" s="238" t="str">
        <f t="shared" ca="1" si="83"/>
        <v/>
      </c>
      <c r="C674" s="238" t="str">
        <f t="shared" ca="1" si="84"/>
        <v/>
      </c>
      <c r="D674" s="155">
        <f t="shared" ca="1" si="85"/>
        <v>666</v>
      </c>
      <c r="E674" s="209">
        <f t="shared" ca="1" si="80"/>
        <v>6</v>
      </c>
      <c r="F674" s="10">
        <f t="shared" ca="1" si="86"/>
        <v>66550</v>
      </c>
      <c r="G674" s="156">
        <f t="shared" ca="1" si="87"/>
        <v>3838295.0439193598</v>
      </c>
      <c r="H674" s="156">
        <f ca="1">SUM($G$8:G674)*gamma</f>
        <v>17827733.156860191</v>
      </c>
      <c r="I674" s="23">
        <f ca="1">MAX(0,ROUND($I$7-$H$7-H674-SUM($G$8:G674),0))</f>
        <v>0</v>
      </c>
      <c r="J674" s="208">
        <f t="shared" ca="1" si="81"/>
        <v>666</v>
      </c>
    </row>
    <row r="675" spans="1:10" ht="15.75" customHeight="1" thickBot="1">
      <c r="A675" s="237" t="str">
        <f t="shared" ca="1" si="82"/>
        <v/>
      </c>
      <c r="B675" s="238" t="str">
        <f t="shared" ca="1" si="83"/>
        <v/>
      </c>
      <c r="C675" s="238" t="str">
        <f t="shared" ca="1" si="84"/>
        <v/>
      </c>
      <c r="D675" s="155">
        <f t="shared" ca="1" si="85"/>
        <v>667</v>
      </c>
      <c r="E675" s="209">
        <f t="shared" ca="1" si="80"/>
        <v>7</v>
      </c>
      <c r="F675" s="10">
        <f t="shared" ca="1" si="86"/>
        <v>66581</v>
      </c>
      <c r="G675" s="156">
        <f t="shared" ca="1" si="87"/>
        <v>3838295.0439193598</v>
      </c>
      <c r="H675" s="156">
        <f ca="1">SUM($G$8:G675)*gamma</f>
        <v>17942882.008177772</v>
      </c>
      <c r="I675" s="23">
        <f ca="1">MAX(0,ROUND($I$7-$H$7-H675-SUM($G$8:G675),0))</f>
        <v>0</v>
      </c>
      <c r="J675" s="208">
        <f t="shared" ca="1" si="81"/>
        <v>667</v>
      </c>
    </row>
    <row r="676" spans="1:10" ht="15.75" customHeight="1" thickBot="1">
      <c r="A676" s="237" t="str">
        <f t="shared" ca="1" si="82"/>
        <v/>
      </c>
      <c r="B676" s="238" t="str">
        <f t="shared" ca="1" si="83"/>
        <v/>
      </c>
      <c r="C676" s="238" t="str">
        <f t="shared" ca="1" si="84"/>
        <v/>
      </c>
      <c r="D676" s="155">
        <f t="shared" ca="1" si="85"/>
        <v>668</v>
      </c>
      <c r="E676" s="209">
        <f t="shared" ca="1" si="80"/>
        <v>8</v>
      </c>
      <c r="F676" s="10">
        <f t="shared" ca="1" si="86"/>
        <v>66611</v>
      </c>
      <c r="G676" s="156">
        <f t="shared" ca="1" si="87"/>
        <v>3838295.0439193598</v>
      </c>
      <c r="H676" s="156">
        <f ca="1">SUM($G$8:G676)*gamma</f>
        <v>18058030.859495349</v>
      </c>
      <c r="I676" s="23">
        <f ca="1">MAX(0,ROUND($I$7-$H$7-H676-SUM($G$8:G676),0))</f>
        <v>0</v>
      </c>
      <c r="J676" s="208">
        <f t="shared" ca="1" si="81"/>
        <v>668</v>
      </c>
    </row>
    <row r="677" spans="1:10" ht="15.75" customHeight="1" thickBot="1">
      <c r="A677" s="237" t="str">
        <f t="shared" ca="1" si="82"/>
        <v/>
      </c>
      <c r="B677" s="238" t="str">
        <f t="shared" ca="1" si="83"/>
        <v/>
      </c>
      <c r="C677" s="238" t="str">
        <f t="shared" ca="1" si="84"/>
        <v/>
      </c>
      <c r="D677" s="155">
        <f t="shared" ca="1" si="85"/>
        <v>669</v>
      </c>
      <c r="E677" s="209">
        <f t="shared" ca="1" si="80"/>
        <v>9</v>
      </c>
      <c r="F677" s="10">
        <f t="shared" ca="1" si="86"/>
        <v>66642</v>
      </c>
      <c r="G677" s="156">
        <f t="shared" ca="1" si="87"/>
        <v>3838295.0439193598</v>
      </c>
      <c r="H677" s="156">
        <f ca="1">SUM($G$8:G677)*gamma</f>
        <v>18173179.71081293</v>
      </c>
      <c r="I677" s="23">
        <f ca="1">MAX(0,ROUND($I$7-$H$7-H677-SUM($G$8:G677),0))</f>
        <v>0</v>
      </c>
      <c r="J677" s="208">
        <f t="shared" ca="1" si="81"/>
        <v>669</v>
      </c>
    </row>
    <row r="678" spans="1:10" ht="15.75" customHeight="1" thickBot="1">
      <c r="A678" s="237" t="str">
        <f t="shared" ca="1" si="82"/>
        <v/>
      </c>
      <c r="B678" s="238" t="str">
        <f t="shared" ca="1" si="83"/>
        <v/>
      </c>
      <c r="C678" s="238" t="str">
        <f t="shared" ca="1" si="84"/>
        <v/>
      </c>
      <c r="D678" s="155">
        <f t="shared" ca="1" si="85"/>
        <v>670</v>
      </c>
      <c r="E678" s="209">
        <f t="shared" ca="1" si="80"/>
        <v>10</v>
      </c>
      <c r="F678" s="10">
        <f t="shared" ca="1" si="86"/>
        <v>66672</v>
      </c>
      <c r="G678" s="156">
        <f t="shared" ca="1" si="87"/>
        <v>3838295.0439193598</v>
      </c>
      <c r="H678" s="156">
        <f ca="1">SUM($G$8:G678)*gamma</f>
        <v>18288328.562130511</v>
      </c>
      <c r="I678" s="23">
        <f ca="1">MAX(0,ROUND($I$7-$H$7-H678-SUM($G$8:G678),0))</f>
        <v>0</v>
      </c>
      <c r="J678" s="208">
        <f t="shared" ca="1" si="81"/>
        <v>670</v>
      </c>
    </row>
    <row r="679" spans="1:10" ht="15.75" customHeight="1" thickBot="1">
      <c r="A679" s="237" t="str">
        <f t="shared" ca="1" si="82"/>
        <v/>
      </c>
      <c r="B679" s="238" t="str">
        <f t="shared" ca="1" si="83"/>
        <v/>
      </c>
      <c r="C679" s="238" t="str">
        <f t="shared" ca="1" si="84"/>
        <v/>
      </c>
      <c r="D679" s="155">
        <f t="shared" ca="1" si="85"/>
        <v>671</v>
      </c>
      <c r="E679" s="209">
        <f t="shared" ca="1" si="80"/>
        <v>11</v>
      </c>
      <c r="F679" s="10">
        <f t="shared" ca="1" si="86"/>
        <v>66703</v>
      </c>
      <c r="G679" s="156">
        <f t="shared" ca="1" si="87"/>
        <v>3838295.0439193598</v>
      </c>
      <c r="H679" s="156">
        <f ca="1">SUM($G$8:G679)*gamma</f>
        <v>18403477.413448092</v>
      </c>
      <c r="I679" s="23">
        <f ca="1">MAX(0,ROUND($I$7-$H$7-H679-SUM($G$8:G679),0))</f>
        <v>0</v>
      </c>
      <c r="J679" s="208">
        <f t="shared" ca="1" si="81"/>
        <v>671</v>
      </c>
    </row>
    <row r="680" spans="1:10" ht="15.75" customHeight="1" thickBot="1">
      <c r="A680" s="237" t="str">
        <f t="shared" ca="1" si="82"/>
        <v/>
      </c>
      <c r="B680" s="238" t="str">
        <f t="shared" ca="1" si="83"/>
        <v/>
      </c>
      <c r="C680" s="238" t="str">
        <f t="shared" ca="1" si="84"/>
        <v/>
      </c>
      <c r="D680" s="155">
        <f t="shared" ca="1" si="85"/>
        <v>672</v>
      </c>
      <c r="E680" s="209">
        <f t="shared" ca="1" si="80"/>
        <v>0</v>
      </c>
      <c r="F680" s="10">
        <f t="shared" ca="1" si="86"/>
        <v>66734</v>
      </c>
      <c r="G680" s="156">
        <f t="shared" ca="1" si="87"/>
        <v>4145358.6474329089</v>
      </c>
      <c r="H680" s="156">
        <f ca="1">SUM($G$8:G680)*gamma</f>
        <v>18527838.172871079</v>
      </c>
      <c r="I680" s="23">
        <f ca="1">MAX(0,ROUND($I$7-$H$7-H680-SUM($G$8:G680),0))</f>
        <v>0</v>
      </c>
      <c r="J680" s="208">
        <f t="shared" ca="1" si="81"/>
        <v>672</v>
      </c>
    </row>
    <row r="681" spans="1:10" ht="15.75" customHeight="1" thickBot="1">
      <c r="A681" s="237" t="str">
        <f t="shared" ca="1" si="82"/>
        <v/>
      </c>
      <c r="B681" s="238" t="str">
        <f t="shared" ca="1" si="83"/>
        <v/>
      </c>
      <c r="C681" s="238" t="str">
        <f t="shared" ca="1" si="84"/>
        <v/>
      </c>
      <c r="D681" s="155">
        <f t="shared" ca="1" si="85"/>
        <v>673</v>
      </c>
      <c r="E681" s="209">
        <f t="shared" ca="1" si="80"/>
        <v>1</v>
      </c>
      <c r="F681" s="10">
        <f t="shared" ca="1" si="86"/>
        <v>66764</v>
      </c>
      <c r="G681" s="156">
        <f t="shared" ca="1" si="87"/>
        <v>4145358.6474329089</v>
      </c>
      <c r="H681" s="156">
        <f ca="1">SUM($G$8:G681)*gamma</f>
        <v>18652198.932294067</v>
      </c>
      <c r="I681" s="23">
        <f ca="1">MAX(0,ROUND($I$7-$H$7-H681-SUM($G$8:G681),0))</f>
        <v>0</v>
      </c>
      <c r="J681" s="208">
        <f t="shared" ca="1" si="81"/>
        <v>673</v>
      </c>
    </row>
    <row r="682" spans="1:10" ht="15.75" customHeight="1" thickBot="1">
      <c r="A682" s="237" t="str">
        <f t="shared" ca="1" si="82"/>
        <v/>
      </c>
      <c r="B682" s="238" t="str">
        <f t="shared" ca="1" si="83"/>
        <v/>
      </c>
      <c r="C682" s="238" t="str">
        <f t="shared" ca="1" si="84"/>
        <v/>
      </c>
      <c r="D682" s="155">
        <f t="shared" ca="1" si="85"/>
        <v>674</v>
      </c>
      <c r="E682" s="209">
        <f t="shared" ca="1" si="80"/>
        <v>2</v>
      </c>
      <c r="F682" s="10">
        <f t="shared" ca="1" si="86"/>
        <v>66795</v>
      </c>
      <c r="G682" s="156">
        <f t="shared" ca="1" si="87"/>
        <v>4145358.6474329089</v>
      </c>
      <c r="H682" s="156">
        <f ca="1">SUM($G$8:G682)*gamma</f>
        <v>18776559.691717055</v>
      </c>
      <c r="I682" s="23">
        <f ca="1">MAX(0,ROUND($I$7-$H$7-H682-SUM($G$8:G682),0))</f>
        <v>0</v>
      </c>
      <c r="J682" s="208">
        <f t="shared" ca="1" si="81"/>
        <v>674</v>
      </c>
    </row>
    <row r="683" spans="1:10" ht="15.75" customHeight="1" thickBot="1">
      <c r="A683" s="237" t="str">
        <f t="shared" ca="1" si="82"/>
        <v/>
      </c>
      <c r="B683" s="238" t="str">
        <f t="shared" ca="1" si="83"/>
        <v/>
      </c>
      <c r="C683" s="238" t="str">
        <f t="shared" ca="1" si="84"/>
        <v/>
      </c>
      <c r="D683" s="155">
        <f t="shared" ca="1" si="85"/>
        <v>675</v>
      </c>
      <c r="E683" s="209">
        <f t="shared" ca="1" si="80"/>
        <v>3</v>
      </c>
      <c r="F683" s="10">
        <f t="shared" ca="1" si="86"/>
        <v>66825</v>
      </c>
      <c r="G683" s="156">
        <f t="shared" ca="1" si="87"/>
        <v>4145358.6474329089</v>
      </c>
      <c r="H683" s="156">
        <f ca="1">SUM($G$8:G683)*gamma</f>
        <v>18900920.451140042</v>
      </c>
      <c r="I683" s="23">
        <f ca="1">MAX(0,ROUND($I$7-$H$7-H683-SUM($G$8:G683),0))</f>
        <v>0</v>
      </c>
      <c r="J683" s="208">
        <f t="shared" ca="1" si="81"/>
        <v>675</v>
      </c>
    </row>
    <row r="684" spans="1:10" ht="15.75" customHeight="1" thickBot="1">
      <c r="A684" s="237" t="str">
        <f t="shared" ca="1" si="82"/>
        <v/>
      </c>
      <c r="B684" s="238" t="str">
        <f t="shared" ca="1" si="83"/>
        <v/>
      </c>
      <c r="C684" s="238" t="str">
        <f t="shared" ca="1" si="84"/>
        <v/>
      </c>
      <c r="D684" s="155">
        <f t="shared" ca="1" si="85"/>
        <v>676</v>
      </c>
      <c r="E684" s="209">
        <f t="shared" ca="1" si="80"/>
        <v>4</v>
      </c>
      <c r="F684" s="10">
        <f t="shared" ca="1" si="86"/>
        <v>66856</v>
      </c>
      <c r="G684" s="156">
        <f t="shared" ca="1" si="87"/>
        <v>4145358.6474329089</v>
      </c>
      <c r="H684" s="156">
        <f ca="1">SUM($G$8:G684)*gamma</f>
        <v>19025281.21056303</v>
      </c>
      <c r="I684" s="23">
        <f ca="1">MAX(0,ROUND($I$7-$H$7-H684-SUM($G$8:G684),0))</f>
        <v>0</v>
      </c>
      <c r="J684" s="208">
        <f t="shared" ca="1" si="81"/>
        <v>676</v>
      </c>
    </row>
    <row r="685" spans="1:10" ht="15.75" customHeight="1" thickBot="1">
      <c r="A685" s="237" t="str">
        <f t="shared" ca="1" si="82"/>
        <v/>
      </c>
      <c r="B685" s="238" t="str">
        <f t="shared" ca="1" si="83"/>
        <v/>
      </c>
      <c r="C685" s="238" t="str">
        <f t="shared" ca="1" si="84"/>
        <v/>
      </c>
      <c r="D685" s="155">
        <f t="shared" ca="1" si="85"/>
        <v>677</v>
      </c>
      <c r="E685" s="209">
        <f t="shared" ca="1" si="80"/>
        <v>5</v>
      </c>
      <c r="F685" s="10">
        <f t="shared" ca="1" si="86"/>
        <v>66887</v>
      </c>
      <c r="G685" s="156">
        <f t="shared" ca="1" si="87"/>
        <v>4145358.6474329089</v>
      </c>
      <c r="H685" s="156">
        <f ca="1">SUM($G$8:G685)*gamma</f>
        <v>19149641.969986018</v>
      </c>
      <c r="I685" s="23">
        <f ca="1">MAX(0,ROUND($I$7-$H$7-H685-SUM($G$8:G685),0))</f>
        <v>0</v>
      </c>
      <c r="J685" s="208">
        <f t="shared" ca="1" si="81"/>
        <v>677</v>
      </c>
    </row>
    <row r="686" spans="1:10" ht="15.75" customHeight="1" thickBot="1">
      <c r="A686" s="237" t="str">
        <f t="shared" ca="1" si="82"/>
        <v/>
      </c>
      <c r="B686" s="238" t="str">
        <f t="shared" ca="1" si="83"/>
        <v/>
      </c>
      <c r="C686" s="238" t="str">
        <f t="shared" ca="1" si="84"/>
        <v/>
      </c>
      <c r="D686" s="155">
        <f t="shared" ca="1" si="85"/>
        <v>678</v>
      </c>
      <c r="E686" s="209">
        <f t="shared" ca="1" si="80"/>
        <v>6</v>
      </c>
      <c r="F686" s="10">
        <f t="shared" ca="1" si="86"/>
        <v>66915</v>
      </c>
      <c r="G686" s="156">
        <f t="shared" ca="1" si="87"/>
        <v>4145358.6474329089</v>
      </c>
      <c r="H686" s="156">
        <f ca="1">SUM($G$8:G686)*gamma</f>
        <v>19274002.729409005</v>
      </c>
      <c r="I686" s="23">
        <f ca="1">MAX(0,ROUND($I$7-$H$7-H686-SUM($G$8:G686),0))</f>
        <v>0</v>
      </c>
      <c r="J686" s="208">
        <f t="shared" ca="1" si="81"/>
        <v>678</v>
      </c>
    </row>
    <row r="687" spans="1:10" ht="15.75" customHeight="1" thickBot="1">
      <c r="A687" s="237" t="str">
        <f t="shared" ca="1" si="82"/>
        <v/>
      </c>
      <c r="B687" s="238" t="str">
        <f t="shared" ca="1" si="83"/>
        <v/>
      </c>
      <c r="C687" s="238" t="str">
        <f t="shared" ca="1" si="84"/>
        <v/>
      </c>
      <c r="D687" s="155">
        <f t="shared" ca="1" si="85"/>
        <v>679</v>
      </c>
      <c r="E687" s="209">
        <f t="shared" ca="1" si="80"/>
        <v>7</v>
      </c>
      <c r="F687" s="10">
        <f t="shared" ca="1" si="86"/>
        <v>66946</v>
      </c>
      <c r="G687" s="156">
        <f t="shared" ca="1" si="87"/>
        <v>4145358.6474329089</v>
      </c>
      <c r="H687" s="156">
        <f ca="1">SUM($G$8:G687)*gamma</f>
        <v>19398363.488831993</v>
      </c>
      <c r="I687" s="23">
        <f ca="1">MAX(0,ROUND($I$7-$H$7-H687-SUM($G$8:G687),0))</f>
        <v>0</v>
      </c>
      <c r="J687" s="208">
        <f t="shared" ca="1" si="81"/>
        <v>679</v>
      </c>
    </row>
    <row r="688" spans="1:10" ht="15.75" customHeight="1" thickBot="1">
      <c r="A688" s="237" t="str">
        <f t="shared" ca="1" si="82"/>
        <v/>
      </c>
      <c r="B688" s="238" t="str">
        <f t="shared" ca="1" si="83"/>
        <v/>
      </c>
      <c r="C688" s="238" t="str">
        <f t="shared" ca="1" si="84"/>
        <v/>
      </c>
      <c r="D688" s="155">
        <f t="shared" ca="1" si="85"/>
        <v>680</v>
      </c>
      <c r="E688" s="209">
        <f t="shared" ca="1" si="80"/>
        <v>8</v>
      </c>
      <c r="F688" s="10">
        <f t="shared" ca="1" si="86"/>
        <v>66976</v>
      </c>
      <c r="G688" s="156">
        <f t="shared" ca="1" si="87"/>
        <v>4145358.6474329089</v>
      </c>
      <c r="H688" s="156">
        <f ca="1">SUM($G$8:G688)*gamma</f>
        <v>19522724.248254981</v>
      </c>
      <c r="I688" s="23">
        <f ca="1">MAX(0,ROUND($I$7-$H$7-H688-SUM($G$8:G688),0))</f>
        <v>0</v>
      </c>
      <c r="J688" s="208">
        <f t="shared" ca="1" si="81"/>
        <v>680</v>
      </c>
    </row>
    <row r="689" spans="1:10" ht="15.75" customHeight="1" thickBot="1">
      <c r="A689" s="237" t="str">
        <f t="shared" ca="1" si="82"/>
        <v/>
      </c>
      <c r="B689" s="238" t="str">
        <f t="shared" ca="1" si="83"/>
        <v/>
      </c>
      <c r="C689" s="238" t="str">
        <f t="shared" ca="1" si="84"/>
        <v/>
      </c>
      <c r="D689" s="155">
        <f t="shared" ca="1" si="85"/>
        <v>681</v>
      </c>
      <c r="E689" s="209">
        <f t="shared" ca="1" si="80"/>
        <v>9</v>
      </c>
      <c r="F689" s="10">
        <f t="shared" ca="1" si="86"/>
        <v>67007</v>
      </c>
      <c r="G689" s="156">
        <f t="shared" ca="1" si="87"/>
        <v>4145358.6474329089</v>
      </c>
      <c r="H689" s="156">
        <f ca="1">SUM($G$8:G689)*gamma</f>
        <v>19647085.007677969</v>
      </c>
      <c r="I689" s="23">
        <f ca="1">MAX(0,ROUND($I$7-$H$7-H689-SUM($G$8:G689),0))</f>
        <v>0</v>
      </c>
      <c r="J689" s="208">
        <f t="shared" ca="1" si="81"/>
        <v>681</v>
      </c>
    </row>
    <row r="690" spans="1:10" ht="15.75" customHeight="1" thickBot="1">
      <c r="A690" s="237" t="str">
        <f t="shared" ca="1" si="82"/>
        <v/>
      </c>
      <c r="B690" s="238" t="str">
        <f t="shared" ca="1" si="83"/>
        <v/>
      </c>
      <c r="C690" s="238" t="str">
        <f t="shared" ca="1" si="84"/>
        <v/>
      </c>
      <c r="D690" s="155">
        <f t="shared" ca="1" si="85"/>
        <v>682</v>
      </c>
      <c r="E690" s="209">
        <f t="shared" ca="1" si="80"/>
        <v>10</v>
      </c>
      <c r="F690" s="10">
        <f t="shared" ca="1" si="86"/>
        <v>67037</v>
      </c>
      <c r="G690" s="156">
        <f t="shared" ca="1" si="87"/>
        <v>4145358.6474329089</v>
      </c>
      <c r="H690" s="156">
        <f ca="1">SUM($G$8:G690)*gamma</f>
        <v>19771445.767100956</v>
      </c>
      <c r="I690" s="23">
        <f ca="1">MAX(0,ROUND($I$7-$H$7-H690-SUM($G$8:G690),0))</f>
        <v>0</v>
      </c>
      <c r="J690" s="208">
        <f t="shared" ca="1" si="81"/>
        <v>682</v>
      </c>
    </row>
    <row r="691" spans="1:10" ht="15.75" customHeight="1" thickBot="1">
      <c r="A691" s="237" t="str">
        <f t="shared" ca="1" si="82"/>
        <v/>
      </c>
      <c r="B691" s="238" t="str">
        <f t="shared" ca="1" si="83"/>
        <v/>
      </c>
      <c r="C691" s="238" t="str">
        <f t="shared" ca="1" si="84"/>
        <v/>
      </c>
      <c r="D691" s="155">
        <f t="shared" ca="1" si="85"/>
        <v>683</v>
      </c>
      <c r="E691" s="209">
        <f t="shared" ca="1" si="80"/>
        <v>11</v>
      </c>
      <c r="F691" s="10">
        <f t="shared" ca="1" si="86"/>
        <v>67068</v>
      </c>
      <c r="G691" s="156">
        <f t="shared" ca="1" si="87"/>
        <v>4145358.6474329089</v>
      </c>
      <c r="H691" s="156">
        <f ca="1">SUM($G$8:G691)*gamma</f>
        <v>19895806.526523944</v>
      </c>
      <c r="I691" s="23">
        <f ca="1">MAX(0,ROUND($I$7-$H$7-H691-SUM($G$8:G691),0))</f>
        <v>0</v>
      </c>
      <c r="J691" s="208">
        <f t="shared" ca="1" si="81"/>
        <v>683</v>
      </c>
    </row>
    <row r="692" spans="1:10" ht="15.75" customHeight="1" thickBot="1">
      <c r="A692" s="237" t="str">
        <f t="shared" ca="1" si="82"/>
        <v/>
      </c>
      <c r="B692" s="238" t="str">
        <f t="shared" ca="1" si="83"/>
        <v/>
      </c>
      <c r="C692" s="238" t="str">
        <f t="shared" ca="1" si="84"/>
        <v/>
      </c>
      <c r="D692" s="155">
        <f t="shared" ca="1" si="85"/>
        <v>684</v>
      </c>
      <c r="E692" s="209">
        <f t="shared" ca="1" si="80"/>
        <v>0</v>
      </c>
      <c r="F692" s="10">
        <f t="shared" ca="1" si="86"/>
        <v>67099</v>
      </c>
      <c r="G692" s="156">
        <f t="shared" ca="1" si="87"/>
        <v>4476987.3392275423</v>
      </c>
      <c r="H692" s="156">
        <f ca="1">SUM($G$8:G692)*gamma</f>
        <v>20030116.14670077</v>
      </c>
      <c r="I692" s="23">
        <f ca="1">MAX(0,ROUND($I$7-$H$7-H692-SUM($G$8:G692),0))</f>
        <v>0</v>
      </c>
      <c r="J692" s="208">
        <f t="shared" ca="1" si="81"/>
        <v>684</v>
      </c>
    </row>
    <row r="693" spans="1:10" ht="15.75" customHeight="1" thickBot="1">
      <c r="A693" s="237" t="str">
        <f t="shared" ca="1" si="82"/>
        <v/>
      </c>
      <c r="B693" s="238" t="str">
        <f t="shared" ca="1" si="83"/>
        <v/>
      </c>
      <c r="C693" s="238" t="str">
        <f t="shared" ca="1" si="84"/>
        <v/>
      </c>
      <c r="D693" s="155">
        <f t="shared" ca="1" si="85"/>
        <v>685</v>
      </c>
      <c r="E693" s="209">
        <f t="shared" ca="1" si="80"/>
        <v>1</v>
      </c>
      <c r="F693" s="10">
        <f t="shared" ca="1" si="86"/>
        <v>67129</v>
      </c>
      <c r="G693" s="156">
        <f t="shared" ca="1" si="87"/>
        <v>4476987.3392275423</v>
      </c>
      <c r="H693" s="156">
        <f ca="1">SUM($G$8:G693)*gamma</f>
        <v>20164425.766877595</v>
      </c>
      <c r="I693" s="23">
        <f ca="1">MAX(0,ROUND($I$7-$H$7-H693-SUM($G$8:G693),0))</f>
        <v>0</v>
      </c>
      <c r="J693" s="208">
        <f t="shared" ca="1" si="81"/>
        <v>685</v>
      </c>
    </row>
    <row r="694" spans="1:10" ht="15.75" customHeight="1" thickBot="1">
      <c r="A694" s="237" t="str">
        <f t="shared" ca="1" si="82"/>
        <v/>
      </c>
      <c r="B694" s="238" t="str">
        <f t="shared" ca="1" si="83"/>
        <v/>
      </c>
      <c r="C694" s="238" t="str">
        <f t="shared" ca="1" si="84"/>
        <v/>
      </c>
      <c r="D694" s="155">
        <f t="shared" ca="1" si="85"/>
        <v>686</v>
      </c>
      <c r="E694" s="209">
        <f t="shared" ca="1" si="80"/>
        <v>2</v>
      </c>
      <c r="F694" s="10">
        <f t="shared" ca="1" si="86"/>
        <v>67160</v>
      </c>
      <c r="G694" s="156">
        <f t="shared" ca="1" si="87"/>
        <v>4476987.3392275423</v>
      </c>
      <c r="H694" s="156">
        <f ca="1">SUM($G$8:G694)*gamma</f>
        <v>20298735.387054421</v>
      </c>
      <c r="I694" s="23">
        <f ca="1">MAX(0,ROUND($I$7-$H$7-H694-SUM($G$8:G694),0))</f>
        <v>0</v>
      </c>
      <c r="J694" s="208">
        <f t="shared" ca="1" si="81"/>
        <v>686</v>
      </c>
    </row>
    <row r="695" spans="1:10" ht="15.75" customHeight="1" thickBot="1">
      <c r="A695" s="237" t="str">
        <f t="shared" ca="1" si="82"/>
        <v/>
      </c>
      <c r="B695" s="238" t="str">
        <f t="shared" ca="1" si="83"/>
        <v/>
      </c>
      <c r="C695" s="238" t="str">
        <f t="shared" ca="1" si="84"/>
        <v/>
      </c>
      <c r="D695" s="155">
        <f t="shared" ca="1" si="85"/>
        <v>687</v>
      </c>
      <c r="E695" s="209">
        <f t="shared" ca="1" si="80"/>
        <v>3</v>
      </c>
      <c r="F695" s="10">
        <f t="shared" ca="1" si="86"/>
        <v>67190</v>
      </c>
      <c r="G695" s="156">
        <f t="shared" ca="1" si="87"/>
        <v>4476987.3392275423</v>
      </c>
      <c r="H695" s="156">
        <f ca="1">SUM($G$8:G695)*gamma</f>
        <v>20433045.00723125</v>
      </c>
      <c r="I695" s="23">
        <f ca="1">MAX(0,ROUND($I$7-$H$7-H695-SUM($G$8:G695),0))</f>
        <v>0</v>
      </c>
      <c r="J695" s="208">
        <f t="shared" ca="1" si="81"/>
        <v>687</v>
      </c>
    </row>
    <row r="696" spans="1:10" ht="15.75" customHeight="1" thickBot="1">
      <c r="A696" s="237" t="str">
        <f t="shared" ca="1" si="82"/>
        <v/>
      </c>
      <c r="B696" s="238" t="str">
        <f t="shared" ca="1" si="83"/>
        <v/>
      </c>
      <c r="C696" s="238" t="str">
        <f t="shared" ca="1" si="84"/>
        <v/>
      </c>
      <c r="D696" s="155">
        <f t="shared" ca="1" si="85"/>
        <v>688</v>
      </c>
      <c r="E696" s="209">
        <f t="shared" ca="1" si="80"/>
        <v>4</v>
      </c>
      <c r="F696" s="10">
        <f t="shared" ca="1" si="86"/>
        <v>67221</v>
      </c>
      <c r="G696" s="156">
        <f t="shared" ca="1" si="87"/>
        <v>4476987.3392275423</v>
      </c>
      <c r="H696" s="156">
        <f ca="1">SUM($G$8:G696)*gamma</f>
        <v>20567354.627408076</v>
      </c>
      <c r="I696" s="23">
        <f ca="1">MAX(0,ROUND($I$7-$H$7-H696-SUM($G$8:G696),0))</f>
        <v>0</v>
      </c>
      <c r="J696" s="208">
        <f t="shared" ca="1" si="81"/>
        <v>688</v>
      </c>
    </row>
    <row r="697" spans="1:10" ht="15.75" customHeight="1" thickBot="1">
      <c r="A697" s="237" t="str">
        <f t="shared" ca="1" si="82"/>
        <v/>
      </c>
      <c r="B697" s="238" t="str">
        <f t="shared" ca="1" si="83"/>
        <v/>
      </c>
      <c r="C697" s="238" t="str">
        <f t="shared" ca="1" si="84"/>
        <v/>
      </c>
      <c r="D697" s="155">
        <f t="shared" ca="1" si="85"/>
        <v>689</v>
      </c>
      <c r="E697" s="209">
        <f t="shared" ca="1" si="80"/>
        <v>5</v>
      </c>
      <c r="F697" s="10">
        <f t="shared" ca="1" si="86"/>
        <v>67252</v>
      </c>
      <c r="G697" s="156">
        <f t="shared" ca="1" si="87"/>
        <v>4476987.3392275423</v>
      </c>
      <c r="H697" s="156">
        <f ca="1">SUM($G$8:G697)*gamma</f>
        <v>20701664.247584902</v>
      </c>
      <c r="I697" s="23">
        <f ca="1">MAX(0,ROUND($I$7-$H$7-H697-SUM($G$8:G697),0))</f>
        <v>0</v>
      </c>
      <c r="J697" s="208">
        <f t="shared" ca="1" si="81"/>
        <v>689</v>
      </c>
    </row>
    <row r="698" spans="1:10" ht="15.75" customHeight="1" thickBot="1">
      <c r="A698" s="237" t="str">
        <f t="shared" ca="1" si="82"/>
        <v/>
      </c>
      <c r="B698" s="238" t="str">
        <f t="shared" ca="1" si="83"/>
        <v/>
      </c>
      <c r="C698" s="238" t="str">
        <f t="shared" ca="1" si="84"/>
        <v/>
      </c>
      <c r="D698" s="155">
        <f t="shared" ca="1" si="85"/>
        <v>690</v>
      </c>
      <c r="E698" s="209">
        <f t="shared" ca="1" si="80"/>
        <v>6</v>
      </c>
      <c r="F698" s="10">
        <f t="shared" ca="1" si="86"/>
        <v>67281</v>
      </c>
      <c r="G698" s="156">
        <f t="shared" ca="1" si="87"/>
        <v>4476987.3392275423</v>
      </c>
      <c r="H698" s="156">
        <f ca="1">SUM($G$8:G698)*gamma</f>
        <v>20835973.867761727</v>
      </c>
      <c r="I698" s="23">
        <f ca="1">MAX(0,ROUND($I$7-$H$7-H698-SUM($G$8:G698),0))</f>
        <v>0</v>
      </c>
      <c r="J698" s="208">
        <f t="shared" ca="1" si="81"/>
        <v>690</v>
      </c>
    </row>
    <row r="699" spans="1:10" ht="15.75" customHeight="1" thickBot="1">
      <c r="A699" s="237" t="str">
        <f t="shared" ca="1" si="82"/>
        <v/>
      </c>
      <c r="B699" s="238" t="str">
        <f t="shared" ca="1" si="83"/>
        <v/>
      </c>
      <c r="C699" s="238" t="str">
        <f t="shared" ca="1" si="84"/>
        <v/>
      </c>
      <c r="D699" s="155">
        <f t="shared" ca="1" si="85"/>
        <v>691</v>
      </c>
      <c r="E699" s="209">
        <f t="shared" ca="1" si="80"/>
        <v>7</v>
      </c>
      <c r="F699" s="10">
        <f t="shared" ca="1" si="86"/>
        <v>67312</v>
      </c>
      <c r="G699" s="156">
        <f t="shared" ca="1" si="87"/>
        <v>4476987.3392275423</v>
      </c>
      <c r="H699" s="156">
        <f ca="1">SUM($G$8:G699)*gamma</f>
        <v>20970283.487938557</v>
      </c>
      <c r="I699" s="23">
        <f ca="1">MAX(0,ROUND($I$7-$H$7-H699-SUM($G$8:G699),0))</f>
        <v>0</v>
      </c>
      <c r="J699" s="208">
        <f t="shared" ca="1" si="81"/>
        <v>691</v>
      </c>
    </row>
    <row r="700" spans="1:10" ht="15.75" customHeight="1" thickBot="1">
      <c r="A700" s="237" t="str">
        <f t="shared" ca="1" si="82"/>
        <v/>
      </c>
      <c r="B700" s="238" t="str">
        <f t="shared" ca="1" si="83"/>
        <v/>
      </c>
      <c r="C700" s="238" t="str">
        <f t="shared" ca="1" si="84"/>
        <v/>
      </c>
      <c r="D700" s="155">
        <f t="shared" ca="1" si="85"/>
        <v>692</v>
      </c>
      <c r="E700" s="209">
        <f t="shared" ca="1" si="80"/>
        <v>8</v>
      </c>
      <c r="F700" s="10">
        <f t="shared" ca="1" si="86"/>
        <v>67342</v>
      </c>
      <c r="G700" s="156">
        <f t="shared" ca="1" si="87"/>
        <v>4476987.3392275423</v>
      </c>
      <c r="H700" s="156">
        <f ca="1">SUM($G$8:G700)*gamma</f>
        <v>21104593.108115382</v>
      </c>
      <c r="I700" s="23">
        <f ca="1">MAX(0,ROUND($I$7-$H$7-H700-SUM($G$8:G700),0))</f>
        <v>0</v>
      </c>
      <c r="J700" s="208">
        <f t="shared" ca="1" si="81"/>
        <v>692</v>
      </c>
    </row>
    <row r="701" spans="1:10" ht="15.75" customHeight="1" thickBot="1">
      <c r="A701" s="237" t="str">
        <f t="shared" ca="1" si="82"/>
        <v/>
      </c>
      <c r="B701" s="238" t="str">
        <f t="shared" ca="1" si="83"/>
        <v/>
      </c>
      <c r="C701" s="238" t="str">
        <f t="shared" ca="1" si="84"/>
        <v/>
      </c>
      <c r="D701" s="155">
        <f t="shared" ca="1" si="85"/>
        <v>693</v>
      </c>
      <c r="E701" s="209">
        <f t="shared" ca="1" si="80"/>
        <v>9</v>
      </c>
      <c r="F701" s="10">
        <f t="shared" ca="1" si="86"/>
        <v>67373</v>
      </c>
      <c r="G701" s="156">
        <f t="shared" ca="1" si="87"/>
        <v>4476987.3392275423</v>
      </c>
      <c r="H701" s="156">
        <f ca="1">SUM($G$8:G701)*gamma</f>
        <v>21238902.728292208</v>
      </c>
      <c r="I701" s="23">
        <f ca="1">MAX(0,ROUND($I$7-$H$7-H701-SUM($G$8:G701),0))</f>
        <v>0</v>
      </c>
      <c r="J701" s="208">
        <f t="shared" ca="1" si="81"/>
        <v>693</v>
      </c>
    </row>
    <row r="702" spans="1:10" ht="15.75" customHeight="1" thickBot="1">
      <c r="A702" s="237" t="str">
        <f t="shared" ca="1" si="82"/>
        <v/>
      </c>
      <c r="B702" s="238" t="str">
        <f t="shared" ca="1" si="83"/>
        <v/>
      </c>
      <c r="C702" s="238" t="str">
        <f t="shared" ca="1" si="84"/>
        <v/>
      </c>
      <c r="D702" s="155">
        <f t="shared" ca="1" si="85"/>
        <v>694</v>
      </c>
      <c r="E702" s="209">
        <f t="shared" ca="1" si="80"/>
        <v>10</v>
      </c>
      <c r="F702" s="10">
        <f t="shared" ca="1" si="86"/>
        <v>67403</v>
      </c>
      <c r="G702" s="156">
        <f t="shared" ca="1" si="87"/>
        <v>4476987.3392275423</v>
      </c>
      <c r="H702" s="156">
        <f ca="1">SUM($G$8:G702)*gamma</f>
        <v>21373212.348469038</v>
      </c>
      <c r="I702" s="23">
        <f ca="1">MAX(0,ROUND($I$7-$H$7-H702-SUM($G$8:G702),0))</f>
        <v>0</v>
      </c>
      <c r="J702" s="208">
        <f t="shared" ca="1" si="81"/>
        <v>694</v>
      </c>
    </row>
    <row r="703" spans="1:10" ht="15.75" customHeight="1" thickBot="1">
      <c r="A703" s="237" t="str">
        <f t="shared" ca="1" si="82"/>
        <v/>
      </c>
      <c r="B703" s="238" t="str">
        <f t="shared" ca="1" si="83"/>
        <v/>
      </c>
      <c r="C703" s="238" t="str">
        <f t="shared" ca="1" si="84"/>
        <v/>
      </c>
      <c r="D703" s="155">
        <f t="shared" ca="1" si="85"/>
        <v>695</v>
      </c>
      <c r="E703" s="209">
        <f t="shared" ca="1" si="80"/>
        <v>11</v>
      </c>
      <c r="F703" s="10">
        <f t="shared" ca="1" si="86"/>
        <v>67434</v>
      </c>
      <c r="G703" s="156">
        <f t="shared" ca="1" si="87"/>
        <v>4476987.3392275423</v>
      </c>
      <c r="H703" s="156">
        <f ca="1">SUM($G$8:G703)*gamma</f>
        <v>21507521.968645863</v>
      </c>
      <c r="I703" s="23">
        <f ca="1">MAX(0,ROUND($I$7-$H$7-H703-SUM($G$8:G703),0))</f>
        <v>0</v>
      </c>
      <c r="J703" s="208">
        <f t="shared" ca="1" si="81"/>
        <v>695</v>
      </c>
    </row>
    <row r="704" spans="1:10" ht="15.75" customHeight="1" thickBot="1">
      <c r="A704" s="237" t="str">
        <f t="shared" ca="1" si="82"/>
        <v/>
      </c>
      <c r="B704" s="238" t="str">
        <f t="shared" ca="1" si="83"/>
        <v/>
      </c>
      <c r="C704" s="238" t="str">
        <f t="shared" ca="1" si="84"/>
        <v/>
      </c>
      <c r="D704" s="155">
        <f t="shared" ca="1" si="85"/>
        <v>696</v>
      </c>
      <c r="E704" s="209">
        <f t="shared" ca="1" si="80"/>
        <v>0</v>
      </c>
      <c r="F704" s="10">
        <f t="shared" ca="1" si="86"/>
        <v>67465</v>
      </c>
      <c r="G704" s="156">
        <f t="shared" ca="1" si="87"/>
        <v>4835146.3263657456</v>
      </c>
      <c r="H704" s="156">
        <f ca="1">SUM($G$8:G704)*gamma</f>
        <v>21652576.358436834</v>
      </c>
      <c r="I704" s="23">
        <f ca="1">MAX(0,ROUND($I$7-$H$7-H704-SUM($G$8:G704),0))</f>
        <v>0</v>
      </c>
      <c r="J704" s="208">
        <f t="shared" ca="1" si="81"/>
        <v>696</v>
      </c>
    </row>
    <row r="705" spans="1:10" ht="15.75" customHeight="1" thickBot="1">
      <c r="A705" s="237" t="str">
        <f t="shared" ca="1" si="82"/>
        <v/>
      </c>
      <c r="B705" s="238" t="str">
        <f t="shared" ca="1" si="83"/>
        <v/>
      </c>
      <c r="C705" s="238" t="str">
        <f t="shared" ca="1" si="84"/>
        <v/>
      </c>
      <c r="D705" s="155">
        <f t="shared" ca="1" si="85"/>
        <v>697</v>
      </c>
      <c r="E705" s="209">
        <f t="shared" ca="1" si="80"/>
        <v>1</v>
      </c>
      <c r="F705" s="10">
        <f t="shared" ca="1" si="86"/>
        <v>67495</v>
      </c>
      <c r="G705" s="156">
        <f t="shared" ca="1" si="87"/>
        <v>4835146.3263657456</v>
      </c>
      <c r="H705" s="156">
        <f ca="1">SUM($G$8:G705)*gamma</f>
        <v>21797630.748227805</v>
      </c>
      <c r="I705" s="23">
        <f ca="1">MAX(0,ROUND($I$7-$H$7-H705-SUM($G$8:G705),0))</f>
        <v>0</v>
      </c>
      <c r="J705" s="208">
        <f t="shared" ca="1" si="81"/>
        <v>697</v>
      </c>
    </row>
    <row r="706" spans="1:10" ht="15.75" customHeight="1" thickBot="1">
      <c r="A706" s="237" t="str">
        <f t="shared" ca="1" si="82"/>
        <v/>
      </c>
      <c r="B706" s="238" t="str">
        <f t="shared" ca="1" si="83"/>
        <v/>
      </c>
      <c r="C706" s="238" t="str">
        <f t="shared" ca="1" si="84"/>
        <v/>
      </c>
      <c r="D706" s="155">
        <f t="shared" ca="1" si="85"/>
        <v>698</v>
      </c>
      <c r="E706" s="209">
        <f t="shared" ca="1" si="80"/>
        <v>2</v>
      </c>
      <c r="F706" s="10">
        <f t="shared" ca="1" si="86"/>
        <v>67526</v>
      </c>
      <c r="G706" s="156">
        <f t="shared" ca="1" si="87"/>
        <v>4835146.3263657456</v>
      </c>
      <c r="H706" s="156">
        <f ca="1">SUM($G$8:G706)*gamma</f>
        <v>21942685.138018776</v>
      </c>
      <c r="I706" s="23">
        <f ca="1">MAX(0,ROUND($I$7-$H$7-H706-SUM($G$8:G706),0))</f>
        <v>0</v>
      </c>
      <c r="J706" s="208">
        <f t="shared" ca="1" si="81"/>
        <v>698</v>
      </c>
    </row>
    <row r="707" spans="1:10" ht="15.75" customHeight="1" thickBot="1">
      <c r="A707" s="237" t="str">
        <f t="shared" ca="1" si="82"/>
        <v/>
      </c>
      <c r="B707" s="238" t="str">
        <f t="shared" ca="1" si="83"/>
        <v/>
      </c>
      <c r="C707" s="238" t="str">
        <f t="shared" ca="1" si="84"/>
        <v/>
      </c>
      <c r="D707" s="155">
        <f t="shared" ca="1" si="85"/>
        <v>699</v>
      </c>
      <c r="E707" s="209">
        <f t="shared" ca="1" si="80"/>
        <v>3</v>
      </c>
      <c r="F707" s="10">
        <f t="shared" ca="1" si="86"/>
        <v>67556</v>
      </c>
      <c r="G707" s="156">
        <f t="shared" ca="1" si="87"/>
        <v>4835146.3263657456</v>
      </c>
      <c r="H707" s="156">
        <f ca="1">SUM($G$8:G707)*gamma</f>
        <v>22087739.527809747</v>
      </c>
      <c r="I707" s="23">
        <f ca="1">MAX(0,ROUND($I$7-$H$7-H707-SUM($G$8:G707),0))</f>
        <v>0</v>
      </c>
      <c r="J707" s="208">
        <f t="shared" ca="1" si="81"/>
        <v>699</v>
      </c>
    </row>
    <row r="708" spans="1:10" ht="15.75" customHeight="1" thickBot="1">
      <c r="A708" s="237" t="str">
        <f t="shared" ca="1" si="82"/>
        <v/>
      </c>
      <c r="B708" s="238" t="str">
        <f t="shared" ca="1" si="83"/>
        <v/>
      </c>
      <c r="C708" s="238" t="str">
        <f t="shared" ca="1" si="84"/>
        <v/>
      </c>
      <c r="D708" s="155">
        <f t="shared" ca="1" si="85"/>
        <v>700</v>
      </c>
      <c r="E708" s="209">
        <f t="shared" ca="1" si="80"/>
        <v>4</v>
      </c>
      <c r="F708" s="10">
        <f t="shared" ca="1" si="86"/>
        <v>67587</v>
      </c>
      <c r="G708" s="156">
        <f t="shared" ca="1" si="87"/>
        <v>4835146.3263657456</v>
      </c>
      <c r="H708" s="156">
        <f ca="1">SUM($G$8:G708)*gamma</f>
        <v>22232793.917600717</v>
      </c>
      <c r="I708" s="23">
        <f ca="1">MAX(0,ROUND($I$7-$H$7-H708-SUM($G$8:G708),0))</f>
        <v>0</v>
      </c>
      <c r="J708" s="208">
        <f t="shared" ca="1" si="81"/>
        <v>700</v>
      </c>
    </row>
    <row r="709" spans="1:10" ht="15.75" customHeight="1" thickBot="1">
      <c r="A709" s="237" t="str">
        <f t="shared" ca="1" si="82"/>
        <v/>
      </c>
      <c r="B709" s="238" t="str">
        <f t="shared" ca="1" si="83"/>
        <v/>
      </c>
      <c r="C709" s="238" t="str">
        <f t="shared" ca="1" si="84"/>
        <v/>
      </c>
      <c r="D709" s="155">
        <f t="shared" ca="1" si="85"/>
        <v>701</v>
      </c>
      <c r="E709" s="209">
        <f t="shared" ca="1" si="80"/>
        <v>5</v>
      </c>
      <c r="F709" s="10">
        <f t="shared" ca="1" si="86"/>
        <v>67618</v>
      </c>
      <c r="G709" s="156">
        <f t="shared" ca="1" si="87"/>
        <v>4835146.3263657456</v>
      </c>
      <c r="H709" s="156">
        <f ca="1">SUM($G$8:G709)*gamma</f>
        <v>22377848.307391692</v>
      </c>
      <c r="I709" s="23">
        <f ca="1">MAX(0,ROUND($I$7-$H$7-H709-SUM($G$8:G709),0))</f>
        <v>0</v>
      </c>
      <c r="J709" s="208">
        <f t="shared" ca="1" si="81"/>
        <v>701</v>
      </c>
    </row>
    <row r="710" spans="1:10" ht="15.75" customHeight="1" thickBot="1">
      <c r="A710" s="237" t="str">
        <f t="shared" ca="1" si="82"/>
        <v/>
      </c>
      <c r="B710" s="238" t="str">
        <f t="shared" ca="1" si="83"/>
        <v/>
      </c>
      <c r="C710" s="238" t="str">
        <f t="shared" ca="1" si="84"/>
        <v/>
      </c>
      <c r="D710" s="155">
        <f t="shared" ca="1" si="85"/>
        <v>702</v>
      </c>
      <c r="E710" s="209">
        <f t="shared" ca="1" si="80"/>
        <v>6</v>
      </c>
      <c r="F710" s="10">
        <f t="shared" ca="1" si="86"/>
        <v>67646</v>
      </c>
      <c r="G710" s="156">
        <f t="shared" ca="1" si="87"/>
        <v>4835146.3263657456</v>
      </c>
      <c r="H710" s="156">
        <f ca="1">SUM($G$8:G710)*gamma</f>
        <v>22522902.697182663</v>
      </c>
      <c r="I710" s="23">
        <f ca="1">MAX(0,ROUND($I$7-$H$7-H710-SUM($G$8:G710),0))</f>
        <v>0</v>
      </c>
      <c r="J710" s="208">
        <f t="shared" ca="1" si="81"/>
        <v>702</v>
      </c>
    </row>
    <row r="711" spans="1:10" ht="15.75" customHeight="1" thickBot="1">
      <c r="A711" s="237" t="str">
        <f t="shared" ca="1" si="82"/>
        <v/>
      </c>
      <c r="B711" s="238" t="str">
        <f t="shared" ca="1" si="83"/>
        <v/>
      </c>
      <c r="C711" s="238" t="str">
        <f t="shared" ca="1" si="84"/>
        <v/>
      </c>
      <c r="D711" s="155">
        <f t="shared" ca="1" si="85"/>
        <v>703</v>
      </c>
      <c r="E711" s="209">
        <f t="shared" ca="1" si="80"/>
        <v>7</v>
      </c>
      <c r="F711" s="10">
        <f t="shared" ca="1" si="86"/>
        <v>67677</v>
      </c>
      <c r="G711" s="156">
        <f t="shared" ca="1" si="87"/>
        <v>4835146.3263657456</v>
      </c>
      <c r="H711" s="156">
        <f ca="1">SUM($G$8:G711)*gamma</f>
        <v>22667957.086973634</v>
      </c>
      <c r="I711" s="23">
        <f ca="1">MAX(0,ROUND($I$7-$H$7-H711-SUM($G$8:G711),0))</f>
        <v>0</v>
      </c>
      <c r="J711" s="208">
        <f t="shared" ca="1" si="81"/>
        <v>703</v>
      </c>
    </row>
    <row r="712" spans="1:10" ht="15.75" customHeight="1" thickBot="1">
      <c r="A712" s="237" t="str">
        <f t="shared" ca="1" si="82"/>
        <v/>
      </c>
      <c r="B712" s="238" t="str">
        <f t="shared" ca="1" si="83"/>
        <v/>
      </c>
      <c r="C712" s="238" t="str">
        <f t="shared" ca="1" si="84"/>
        <v/>
      </c>
      <c r="D712" s="155">
        <f t="shared" ca="1" si="85"/>
        <v>704</v>
      </c>
      <c r="E712" s="209">
        <f t="shared" ref="E712:E739" ca="1" si="88">MOD(J712,12)</f>
        <v>8</v>
      </c>
      <c r="F712" s="10">
        <f t="shared" ca="1" si="86"/>
        <v>67707</v>
      </c>
      <c r="G712" s="156">
        <f t="shared" ca="1" si="87"/>
        <v>4835146.3263657456</v>
      </c>
      <c r="H712" s="156">
        <f ca="1">SUM($G$8:G712)*gamma</f>
        <v>22813011.476764604</v>
      </c>
      <c r="I712" s="23">
        <f ca="1">MAX(0,ROUND($I$7-$H$7-H712-SUM($G$8:G712),0))</f>
        <v>0</v>
      </c>
      <c r="J712" s="208">
        <f t="shared" ref="J712:J739" ca="1" si="89">IF(G711&gt;0,1+J711,0)</f>
        <v>704</v>
      </c>
    </row>
    <row r="713" spans="1:10" ht="15.75" customHeight="1" thickBot="1">
      <c r="A713" s="237" t="str">
        <f t="shared" ref="A713:A739" ca="1" si="90">IF(d_plast&gt;=F713,F713,"")</f>
        <v/>
      </c>
      <c r="B713" s="238" t="str">
        <f t="shared" ref="B713:B739" ca="1" si="91">IF(A713="","",ROUND(G713,0))</f>
        <v/>
      </c>
      <c r="C713" s="238" t="str">
        <f t="shared" ref="C713:C739" ca="1" si="92">IF(A713&lt;&gt;"",IF(end=2,IF(D713&lt;24,0,I713),I713),"")</f>
        <v/>
      </c>
      <c r="D713" s="155">
        <f t="shared" ref="D713:D739" ca="1" si="93">D712+freq_2</f>
        <v>705</v>
      </c>
      <c r="E713" s="209">
        <f t="shared" ca="1" si="88"/>
        <v>9</v>
      </c>
      <c r="F713" s="10">
        <f t="shared" ref="F713:F739" ca="1" si="94">EDATE($F$8,D713)</f>
        <v>67738</v>
      </c>
      <c r="G713" s="156">
        <f t="shared" ref="G713:G739" ca="1" si="95">IF(A713&lt;d_begin,0,IF(G712=0,Ben,IF(E713=0,G712*(1+index),G712)))</f>
        <v>4835146.3263657456</v>
      </c>
      <c r="H713" s="156">
        <f ca="1">SUM($G$8:G713)*gamma</f>
        <v>22958065.866555575</v>
      </c>
      <c r="I713" s="23">
        <f ca="1">MAX(0,ROUND($I$7-$H$7-H713-SUM($G$8:G713),0))</f>
        <v>0</v>
      </c>
      <c r="J713" s="208">
        <f t="shared" ca="1" si="89"/>
        <v>705</v>
      </c>
    </row>
    <row r="714" spans="1:10" ht="15.75" customHeight="1" thickBot="1">
      <c r="A714" s="237" t="str">
        <f t="shared" ca="1" si="90"/>
        <v/>
      </c>
      <c r="B714" s="238" t="str">
        <f t="shared" ca="1" si="91"/>
        <v/>
      </c>
      <c r="C714" s="238" t="str">
        <f t="shared" ca="1" si="92"/>
        <v/>
      </c>
      <c r="D714" s="155">
        <f t="shared" ca="1" si="93"/>
        <v>706</v>
      </c>
      <c r="E714" s="209">
        <f t="shared" ca="1" si="88"/>
        <v>10</v>
      </c>
      <c r="F714" s="10">
        <f t="shared" ca="1" si="94"/>
        <v>67768</v>
      </c>
      <c r="G714" s="156">
        <f t="shared" ca="1" si="95"/>
        <v>4835146.3263657456</v>
      </c>
      <c r="H714" s="156">
        <f ca="1">SUM($G$8:G714)*gamma</f>
        <v>23103120.256346546</v>
      </c>
      <c r="I714" s="23">
        <f ca="1">MAX(0,ROUND($I$7-$H$7-H714-SUM($G$8:G714),0))</f>
        <v>0</v>
      </c>
      <c r="J714" s="208">
        <f t="shared" ca="1" si="89"/>
        <v>706</v>
      </c>
    </row>
    <row r="715" spans="1:10" ht="15.75" customHeight="1" thickBot="1">
      <c r="A715" s="237" t="str">
        <f t="shared" ca="1" si="90"/>
        <v/>
      </c>
      <c r="B715" s="238" t="str">
        <f t="shared" ca="1" si="91"/>
        <v/>
      </c>
      <c r="C715" s="238" t="str">
        <f t="shared" ca="1" si="92"/>
        <v/>
      </c>
      <c r="D715" s="155">
        <f t="shared" ca="1" si="93"/>
        <v>707</v>
      </c>
      <c r="E715" s="209">
        <f t="shared" ca="1" si="88"/>
        <v>11</v>
      </c>
      <c r="F715" s="10">
        <f t="shared" ca="1" si="94"/>
        <v>67799</v>
      </c>
      <c r="G715" s="156">
        <f t="shared" ca="1" si="95"/>
        <v>4835146.3263657456</v>
      </c>
      <c r="H715" s="156">
        <f ca="1">SUM($G$8:G715)*gamma</f>
        <v>23248174.646137517</v>
      </c>
      <c r="I715" s="23">
        <f ca="1">MAX(0,ROUND($I$7-$H$7-H715-SUM($G$8:G715),0))</f>
        <v>0</v>
      </c>
      <c r="J715" s="208">
        <f t="shared" ca="1" si="89"/>
        <v>707</v>
      </c>
    </row>
    <row r="716" spans="1:10" ht="15.75" customHeight="1" thickBot="1">
      <c r="A716" s="237" t="str">
        <f t="shared" ca="1" si="90"/>
        <v/>
      </c>
      <c r="B716" s="238" t="str">
        <f t="shared" ca="1" si="91"/>
        <v/>
      </c>
      <c r="C716" s="238" t="str">
        <f t="shared" ca="1" si="92"/>
        <v/>
      </c>
      <c r="D716" s="155">
        <f t="shared" ca="1" si="93"/>
        <v>708</v>
      </c>
      <c r="E716" s="209">
        <f t="shared" ca="1" si="88"/>
        <v>0</v>
      </c>
      <c r="F716" s="10">
        <f t="shared" ca="1" si="94"/>
        <v>67830</v>
      </c>
      <c r="G716" s="156">
        <f t="shared" ca="1" si="95"/>
        <v>5221958.0324750058</v>
      </c>
      <c r="H716" s="156">
        <f ca="1">SUM($G$8:G716)*gamma</f>
        <v>23404833.387111768</v>
      </c>
      <c r="I716" s="23">
        <f ca="1">MAX(0,ROUND($I$7-$H$7-H716-SUM($G$8:G716),0))</f>
        <v>0</v>
      </c>
      <c r="J716" s="208">
        <f t="shared" ca="1" si="89"/>
        <v>708</v>
      </c>
    </row>
    <row r="717" spans="1:10" ht="15.75" customHeight="1" thickBot="1">
      <c r="A717" s="237" t="str">
        <f t="shared" ca="1" si="90"/>
        <v/>
      </c>
      <c r="B717" s="238" t="str">
        <f t="shared" ca="1" si="91"/>
        <v/>
      </c>
      <c r="C717" s="238" t="str">
        <f t="shared" ca="1" si="92"/>
        <v/>
      </c>
      <c r="D717" s="155">
        <f t="shared" ca="1" si="93"/>
        <v>709</v>
      </c>
      <c r="E717" s="209">
        <f t="shared" ca="1" si="88"/>
        <v>1</v>
      </c>
      <c r="F717" s="10">
        <f t="shared" ca="1" si="94"/>
        <v>67860</v>
      </c>
      <c r="G717" s="156">
        <f t="shared" ca="1" si="95"/>
        <v>5221958.0324750058</v>
      </c>
      <c r="H717" s="156">
        <f ca="1">SUM($G$8:G717)*gamma</f>
        <v>23561492.128086019</v>
      </c>
      <c r="I717" s="23">
        <f ca="1">MAX(0,ROUND($I$7-$H$7-H717-SUM($G$8:G717),0))</f>
        <v>0</v>
      </c>
      <c r="J717" s="208">
        <f t="shared" ca="1" si="89"/>
        <v>709</v>
      </c>
    </row>
    <row r="718" spans="1:10" ht="15.75" customHeight="1" thickBot="1">
      <c r="A718" s="237" t="str">
        <f t="shared" ca="1" si="90"/>
        <v/>
      </c>
      <c r="B718" s="238" t="str">
        <f t="shared" ca="1" si="91"/>
        <v/>
      </c>
      <c r="C718" s="238" t="str">
        <f t="shared" ca="1" si="92"/>
        <v/>
      </c>
      <c r="D718" s="155">
        <f t="shared" ca="1" si="93"/>
        <v>710</v>
      </c>
      <c r="E718" s="209">
        <f t="shared" ca="1" si="88"/>
        <v>2</v>
      </c>
      <c r="F718" s="10">
        <f t="shared" ca="1" si="94"/>
        <v>67891</v>
      </c>
      <c r="G718" s="156">
        <f t="shared" ca="1" si="95"/>
        <v>5221958.0324750058</v>
      </c>
      <c r="H718" s="156">
        <f ca="1">SUM($G$8:G718)*gamma</f>
        <v>23718150.869060267</v>
      </c>
      <c r="I718" s="23">
        <f ca="1">MAX(0,ROUND($I$7-$H$7-H718-SUM($G$8:G718),0))</f>
        <v>0</v>
      </c>
      <c r="J718" s="208">
        <f t="shared" ca="1" si="89"/>
        <v>710</v>
      </c>
    </row>
    <row r="719" spans="1:10" ht="15.75" customHeight="1" thickBot="1">
      <c r="A719" s="237" t="str">
        <f t="shared" ca="1" si="90"/>
        <v/>
      </c>
      <c r="B719" s="238" t="str">
        <f t="shared" ca="1" si="91"/>
        <v/>
      </c>
      <c r="C719" s="238" t="str">
        <f t="shared" ca="1" si="92"/>
        <v/>
      </c>
      <c r="D719" s="155">
        <f t="shared" ca="1" si="93"/>
        <v>711</v>
      </c>
      <c r="E719" s="209">
        <f t="shared" ca="1" si="88"/>
        <v>3</v>
      </c>
      <c r="F719" s="10">
        <f t="shared" ca="1" si="94"/>
        <v>67921</v>
      </c>
      <c r="G719" s="156">
        <f t="shared" ca="1" si="95"/>
        <v>5221958.0324750058</v>
      </c>
      <c r="H719" s="156">
        <f ca="1">SUM($G$8:G719)*gamma</f>
        <v>23874809.610034518</v>
      </c>
      <c r="I719" s="23">
        <f ca="1">MAX(0,ROUND($I$7-$H$7-H719-SUM($G$8:G719),0))</f>
        <v>0</v>
      </c>
      <c r="J719" s="208">
        <f t="shared" ca="1" si="89"/>
        <v>711</v>
      </c>
    </row>
    <row r="720" spans="1:10" ht="15.75" customHeight="1" thickBot="1">
      <c r="A720" s="237" t="str">
        <f t="shared" ca="1" si="90"/>
        <v/>
      </c>
      <c r="B720" s="238" t="str">
        <f t="shared" ca="1" si="91"/>
        <v/>
      </c>
      <c r="C720" s="238" t="str">
        <f t="shared" ca="1" si="92"/>
        <v/>
      </c>
      <c r="D720" s="155">
        <f t="shared" ca="1" si="93"/>
        <v>712</v>
      </c>
      <c r="E720" s="209">
        <f t="shared" ca="1" si="88"/>
        <v>4</v>
      </c>
      <c r="F720" s="10">
        <f t="shared" ca="1" si="94"/>
        <v>67952</v>
      </c>
      <c r="G720" s="156">
        <f t="shared" ca="1" si="95"/>
        <v>5221958.0324750058</v>
      </c>
      <c r="H720" s="156">
        <f ca="1">SUM($G$8:G720)*gamma</f>
        <v>24031468.351008765</v>
      </c>
      <c r="I720" s="23">
        <f ca="1">MAX(0,ROUND($I$7-$H$7-H720-SUM($G$8:G720),0))</f>
        <v>0</v>
      </c>
      <c r="J720" s="208">
        <f t="shared" ca="1" si="89"/>
        <v>712</v>
      </c>
    </row>
    <row r="721" spans="1:10" ht="15.75" customHeight="1" thickBot="1">
      <c r="A721" s="237" t="str">
        <f t="shared" ca="1" si="90"/>
        <v/>
      </c>
      <c r="B721" s="238" t="str">
        <f t="shared" ca="1" si="91"/>
        <v/>
      </c>
      <c r="C721" s="238" t="str">
        <f t="shared" ca="1" si="92"/>
        <v/>
      </c>
      <c r="D721" s="155">
        <f t="shared" ca="1" si="93"/>
        <v>713</v>
      </c>
      <c r="E721" s="209">
        <f t="shared" ca="1" si="88"/>
        <v>5</v>
      </c>
      <c r="F721" s="10">
        <f t="shared" ca="1" si="94"/>
        <v>67983</v>
      </c>
      <c r="G721" s="156">
        <f t="shared" ca="1" si="95"/>
        <v>5221958.0324750058</v>
      </c>
      <c r="H721" s="156">
        <f ca="1">SUM($G$8:G721)*gamma</f>
        <v>24188127.091983017</v>
      </c>
      <c r="I721" s="23">
        <f ca="1">MAX(0,ROUND($I$7-$H$7-H721-SUM($G$8:G721),0))</f>
        <v>0</v>
      </c>
      <c r="J721" s="208">
        <f t="shared" ca="1" si="89"/>
        <v>713</v>
      </c>
    </row>
    <row r="722" spans="1:10" ht="15.75" customHeight="1" thickBot="1">
      <c r="A722" s="237" t="str">
        <f t="shared" ca="1" si="90"/>
        <v/>
      </c>
      <c r="B722" s="238" t="str">
        <f t="shared" ca="1" si="91"/>
        <v/>
      </c>
      <c r="C722" s="238" t="str">
        <f t="shared" ca="1" si="92"/>
        <v/>
      </c>
      <c r="D722" s="155">
        <f t="shared" ca="1" si="93"/>
        <v>714</v>
      </c>
      <c r="E722" s="209">
        <f t="shared" ca="1" si="88"/>
        <v>6</v>
      </c>
      <c r="F722" s="10">
        <f t="shared" ca="1" si="94"/>
        <v>68011</v>
      </c>
      <c r="G722" s="156">
        <f t="shared" ca="1" si="95"/>
        <v>5221958.0324750058</v>
      </c>
      <c r="H722" s="156">
        <f ca="1">SUM($G$8:G722)*gamma</f>
        <v>24344785.832957268</v>
      </c>
      <c r="I722" s="23">
        <f ca="1">MAX(0,ROUND($I$7-$H$7-H722-SUM($G$8:G722),0))</f>
        <v>0</v>
      </c>
      <c r="J722" s="208">
        <f t="shared" ca="1" si="89"/>
        <v>714</v>
      </c>
    </row>
    <row r="723" spans="1:10" ht="15.75" customHeight="1" thickBot="1">
      <c r="A723" s="237" t="str">
        <f t="shared" ca="1" si="90"/>
        <v/>
      </c>
      <c r="B723" s="238" t="str">
        <f t="shared" ca="1" si="91"/>
        <v/>
      </c>
      <c r="C723" s="238" t="str">
        <f t="shared" ca="1" si="92"/>
        <v/>
      </c>
      <c r="D723" s="155">
        <f t="shared" ca="1" si="93"/>
        <v>715</v>
      </c>
      <c r="E723" s="209">
        <f t="shared" ca="1" si="88"/>
        <v>7</v>
      </c>
      <c r="F723" s="10">
        <f t="shared" ca="1" si="94"/>
        <v>68042</v>
      </c>
      <c r="G723" s="156">
        <f t="shared" ca="1" si="95"/>
        <v>5221958.0324750058</v>
      </c>
      <c r="H723" s="156">
        <f ca="1">SUM($G$8:G723)*gamma</f>
        <v>24501444.573931515</v>
      </c>
      <c r="I723" s="23">
        <f ca="1">MAX(0,ROUND($I$7-$H$7-H723-SUM($G$8:G723),0))</f>
        <v>0</v>
      </c>
      <c r="J723" s="208">
        <f t="shared" ca="1" si="89"/>
        <v>715</v>
      </c>
    </row>
    <row r="724" spans="1:10" ht="15.75" customHeight="1" thickBot="1">
      <c r="A724" s="237" t="str">
        <f t="shared" ca="1" si="90"/>
        <v/>
      </c>
      <c r="B724" s="238" t="str">
        <f t="shared" ca="1" si="91"/>
        <v/>
      </c>
      <c r="C724" s="238" t="str">
        <f t="shared" ca="1" si="92"/>
        <v/>
      </c>
      <c r="D724" s="155">
        <f t="shared" ca="1" si="93"/>
        <v>716</v>
      </c>
      <c r="E724" s="209">
        <f t="shared" ca="1" si="88"/>
        <v>8</v>
      </c>
      <c r="F724" s="10">
        <f t="shared" ca="1" si="94"/>
        <v>68072</v>
      </c>
      <c r="G724" s="156">
        <f t="shared" ca="1" si="95"/>
        <v>5221958.0324750058</v>
      </c>
      <c r="H724" s="156">
        <f ca="1">SUM($G$8:G724)*gamma</f>
        <v>24658103.314905766</v>
      </c>
      <c r="I724" s="23">
        <f ca="1">MAX(0,ROUND($I$7-$H$7-H724-SUM($G$8:G724),0))</f>
        <v>0</v>
      </c>
      <c r="J724" s="208">
        <f t="shared" ca="1" si="89"/>
        <v>716</v>
      </c>
    </row>
    <row r="725" spans="1:10" ht="15.75" customHeight="1" thickBot="1">
      <c r="A725" s="237" t="str">
        <f t="shared" ca="1" si="90"/>
        <v/>
      </c>
      <c r="B725" s="238" t="str">
        <f t="shared" ca="1" si="91"/>
        <v/>
      </c>
      <c r="C725" s="238" t="str">
        <f t="shared" ca="1" si="92"/>
        <v/>
      </c>
      <c r="D725" s="155">
        <f t="shared" ca="1" si="93"/>
        <v>717</v>
      </c>
      <c r="E725" s="209">
        <f t="shared" ca="1" si="88"/>
        <v>9</v>
      </c>
      <c r="F725" s="10">
        <f t="shared" ca="1" si="94"/>
        <v>68103</v>
      </c>
      <c r="G725" s="156">
        <f t="shared" ca="1" si="95"/>
        <v>5221958.0324750058</v>
      </c>
      <c r="H725" s="156">
        <f ca="1">SUM($G$8:G725)*gamma</f>
        <v>24814762.055880018</v>
      </c>
      <c r="I725" s="23">
        <f ca="1">MAX(0,ROUND($I$7-$H$7-H725-SUM($G$8:G725),0))</f>
        <v>0</v>
      </c>
      <c r="J725" s="208">
        <f t="shared" ca="1" si="89"/>
        <v>717</v>
      </c>
    </row>
    <row r="726" spans="1:10" ht="15.75" customHeight="1" thickBot="1">
      <c r="A726" s="237" t="str">
        <f t="shared" ca="1" si="90"/>
        <v/>
      </c>
      <c r="B726" s="238" t="str">
        <f t="shared" ca="1" si="91"/>
        <v/>
      </c>
      <c r="C726" s="238" t="str">
        <f t="shared" ca="1" si="92"/>
        <v/>
      </c>
      <c r="D726" s="155">
        <f t="shared" ca="1" si="93"/>
        <v>718</v>
      </c>
      <c r="E726" s="209">
        <f t="shared" ca="1" si="88"/>
        <v>10</v>
      </c>
      <c r="F726" s="10">
        <f t="shared" ca="1" si="94"/>
        <v>68133</v>
      </c>
      <c r="G726" s="156">
        <f t="shared" ca="1" si="95"/>
        <v>5221958.0324750058</v>
      </c>
      <c r="H726" s="156">
        <f ca="1">SUM($G$8:G726)*gamma</f>
        <v>24971420.796854265</v>
      </c>
      <c r="I726" s="23">
        <f ca="1">MAX(0,ROUND($I$7-$H$7-H726-SUM($G$8:G726),0))</f>
        <v>0</v>
      </c>
      <c r="J726" s="208">
        <f t="shared" ca="1" si="89"/>
        <v>718</v>
      </c>
    </row>
    <row r="727" spans="1:10" ht="15.75" customHeight="1" thickBot="1">
      <c r="A727" s="237" t="str">
        <f t="shared" ca="1" si="90"/>
        <v/>
      </c>
      <c r="B727" s="238" t="str">
        <f t="shared" ca="1" si="91"/>
        <v/>
      </c>
      <c r="C727" s="238" t="str">
        <f t="shared" ca="1" si="92"/>
        <v/>
      </c>
      <c r="D727" s="155">
        <f t="shared" ca="1" si="93"/>
        <v>719</v>
      </c>
      <c r="E727" s="209">
        <f t="shared" ca="1" si="88"/>
        <v>11</v>
      </c>
      <c r="F727" s="10">
        <f t="shared" ca="1" si="94"/>
        <v>68164</v>
      </c>
      <c r="G727" s="156">
        <f t="shared" ca="1" si="95"/>
        <v>5221958.0324750058</v>
      </c>
      <c r="H727" s="156">
        <f ca="1">SUM($G$8:G727)*gamma</f>
        <v>25128079.537828516</v>
      </c>
      <c r="I727" s="23">
        <f ca="1">MAX(0,ROUND($I$7-$H$7-H727-SUM($G$8:G727),0))</f>
        <v>0</v>
      </c>
      <c r="J727" s="208">
        <f t="shared" ca="1" si="89"/>
        <v>719</v>
      </c>
    </row>
    <row r="728" spans="1:10" ht="15.75" customHeight="1" thickBot="1">
      <c r="A728" s="237" t="str">
        <f t="shared" ca="1" si="90"/>
        <v/>
      </c>
      <c r="B728" s="238" t="str">
        <f t="shared" ca="1" si="91"/>
        <v/>
      </c>
      <c r="C728" s="238" t="str">
        <f t="shared" ca="1" si="92"/>
        <v/>
      </c>
      <c r="D728" s="155">
        <f t="shared" ca="1" si="93"/>
        <v>720</v>
      </c>
      <c r="E728" s="209">
        <f t="shared" ca="1" si="88"/>
        <v>0</v>
      </c>
      <c r="F728" s="10">
        <f t="shared" ca="1" si="94"/>
        <v>68195</v>
      </c>
      <c r="G728" s="156">
        <f t="shared" ca="1" si="95"/>
        <v>5639714.6750730071</v>
      </c>
      <c r="H728" s="156">
        <f ca="1">SUM($G$8:G728)*gamma</f>
        <v>25297270.978080709</v>
      </c>
      <c r="I728" s="23">
        <f ca="1">MAX(0,ROUND($I$7-$H$7-H728-SUM($G$8:G728),0))</f>
        <v>0</v>
      </c>
      <c r="J728" s="208">
        <f t="shared" ca="1" si="89"/>
        <v>720</v>
      </c>
    </row>
    <row r="729" spans="1:10" ht="15.75" customHeight="1" thickBot="1">
      <c r="A729" s="237" t="str">
        <f t="shared" ca="1" si="90"/>
        <v/>
      </c>
      <c r="B729" s="238" t="str">
        <f t="shared" ca="1" si="91"/>
        <v/>
      </c>
      <c r="C729" s="238" t="str">
        <f t="shared" ca="1" si="92"/>
        <v/>
      </c>
      <c r="D729" s="155">
        <f t="shared" ca="1" si="93"/>
        <v>721</v>
      </c>
      <c r="E729" s="209">
        <f t="shared" ca="1" si="88"/>
        <v>1</v>
      </c>
      <c r="F729" s="10">
        <f t="shared" ca="1" si="94"/>
        <v>68225</v>
      </c>
      <c r="G729" s="156">
        <f t="shared" ca="1" si="95"/>
        <v>5639714.6750730071</v>
      </c>
      <c r="H729" s="156">
        <f ca="1">SUM($G$8:G729)*gamma</f>
        <v>25466462.418332897</v>
      </c>
      <c r="I729" s="23">
        <f ca="1">MAX(0,ROUND($I$7-$H$7-H729-SUM($G$8:G729),0))</f>
        <v>0</v>
      </c>
      <c r="J729" s="208">
        <f t="shared" ca="1" si="89"/>
        <v>721</v>
      </c>
    </row>
    <row r="730" spans="1:10" ht="15.75" customHeight="1" thickBot="1">
      <c r="A730" s="237" t="str">
        <f t="shared" ca="1" si="90"/>
        <v/>
      </c>
      <c r="B730" s="238" t="str">
        <f t="shared" ca="1" si="91"/>
        <v/>
      </c>
      <c r="C730" s="238" t="str">
        <f t="shared" ca="1" si="92"/>
        <v/>
      </c>
      <c r="D730" s="155">
        <f t="shared" ca="1" si="93"/>
        <v>722</v>
      </c>
      <c r="E730" s="209">
        <f t="shared" ca="1" si="88"/>
        <v>2</v>
      </c>
      <c r="F730" s="10">
        <f t="shared" ca="1" si="94"/>
        <v>68256</v>
      </c>
      <c r="G730" s="156">
        <f t="shared" ca="1" si="95"/>
        <v>5639714.6750730071</v>
      </c>
      <c r="H730" s="156">
        <f ca="1">SUM($G$8:G730)*gamma</f>
        <v>25635653.858585089</v>
      </c>
      <c r="I730" s="23">
        <f ca="1">MAX(0,ROUND($I$7-$H$7-H730-SUM($G$8:G730),0))</f>
        <v>0</v>
      </c>
      <c r="J730" s="208">
        <f t="shared" ca="1" si="89"/>
        <v>722</v>
      </c>
    </row>
    <row r="731" spans="1:10" ht="15.75" customHeight="1" thickBot="1">
      <c r="A731" s="237" t="str">
        <f t="shared" ca="1" si="90"/>
        <v/>
      </c>
      <c r="B731" s="238" t="str">
        <f t="shared" ca="1" si="91"/>
        <v/>
      </c>
      <c r="C731" s="238" t="str">
        <f t="shared" ca="1" si="92"/>
        <v/>
      </c>
      <c r="D731" s="155">
        <f t="shared" ca="1" si="93"/>
        <v>723</v>
      </c>
      <c r="E731" s="209">
        <f t="shared" ca="1" si="88"/>
        <v>3</v>
      </c>
      <c r="F731" s="10">
        <f t="shared" ca="1" si="94"/>
        <v>68286</v>
      </c>
      <c r="G731" s="156">
        <f t="shared" ca="1" si="95"/>
        <v>5639714.6750730071</v>
      </c>
      <c r="H731" s="156">
        <f ca="1">SUM($G$8:G731)*gamma</f>
        <v>25804845.298837278</v>
      </c>
      <c r="I731" s="23">
        <f ca="1">MAX(0,ROUND($I$7-$H$7-H731-SUM($G$8:G731),0))</f>
        <v>0</v>
      </c>
      <c r="J731" s="208">
        <f t="shared" ca="1" si="89"/>
        <v>723</v>
      </c>
    </row>
    <row r="732" spans="1:10" ht="15.75" customHeight="1" thickBot="1">
      <c r="A732" s="237" t="str">
        <f t="shared" ca="1" si="90"/>
        <v/>
      </c>
      <c r="B732" s="238" t="str">
        <f t="shared" ca="1" si="91"/>
        <v/>
      </c>
      <c r="C732" s="238" t="str">
        <f t="shared" ca="1" si="92"/>
        <v/>
      </c>
      <c r="D732" s="155">
        <f t="shared" ca="1" si="93"/>
        <v>724</v>
      </c>
      <c r="E732" s="209">
        <f t="shared" ca="1" si="88"/>
        <v>4</v>
      </c>
      <c r="F732" s="10">
        <f t="shared" ca="1" si="94"/>
        <v>68317</v>
      </c>
      <c r="G732" s="156">
        <f t="shared" ca="1" si="95"/>
        <v>5639714.6750730071</v>
      </c>
      <c r="H732" s="156">
        <f ca="1">SUM($G$8:G732)*gamma</f>
        <v>25974036.73908947</v>
      </c>
      <c r="I732" s="23">
        <f ca="1">MAX(0,ROUND($I$7-$H$7-H732-SUM($G$8:G732),0))</f>
        <v>0</v>
      </c>
      <c r="J732" s="208">
        <f t="shared" ca="1" si="89"/>
        <v>724</v>
      </c>
    </row>
    <row r="733" spans="1:10" ht="15.75" customHeight="1" thickBot="1">
      <c r="A733" s="237" t="str">
        <f t="shared" ca="1" si="90"/>
        <v/>
      </c>
      <c r="B733" s="238" t="str">
        <f t="shared" ca="1" si="91"/>
        <v/>
      </c>
      <c r="C733" s="238" t="str">
        <f t="shared" ca="1" si="92"/>
        <v/>
      </c>
      <c r="D733" s="155">
        <f t="shared" ca="1" si="93"/>
        <v>725</v>
      </c>
      <c r="E733" s="209">
        <f t="shared" ca="1" si="88"/>
        <v>5</v>
      </c>
      <c r="F733" s="10">
        <f t="shared" ca="1" si="94"/>
        <v>68348</v>
      </c>
      <c r="G733" s="156">
        <f t="shared" ca="1" si="95"/>
        <v>5639714.6750730071</v>
      </c>
      <c r="H733" s="156">
        <f ca="1">SUM($G$8:G733)*gamma</f>
        <v>26143228.179341663</v>
      </c>
      <c r="I733" s="23">
        <f ca="1">MAX(0,ROUND($I$7-$H$7-H733-SUM($G$8:G733),0))</f>
        <v>0</v>
      </c>
      <c r="J733" s="208">
        <f t="shared" ca="1" si="89"/>
        <v>725</v>
      </c>
    </row>
    <row r="734" spans="1:10" ht="15.75" customHeight="1" thickBot="1">
      <c r="A734" s="237" t="str">
        <f t="shared" ca="1" si="90"/>
        <v/>
      </c>
      <c r="B734" s="238" t="str">
        <f t="shared" ca="1" si="91"/>
        <v/>
      </c>
      <c r="C734" s="238" t="str">
        <f t="shared" ca="1" si="92"/>
        <v/>
      </c>
      <c r="D734" s="155">
        <f t="shared" ca="1" si="93"/>
        <v>726</v>
      </c>
      <c r="E734" s="209">
        <f t="shared" ca="1" si="88"/>
        <v>6</v>
      </c>
      <c r="F734" s="10">
        <f t="shared" ca="1" si="94"/>
        <v>68376</v>
      </c>
      <c r="G734" s="156">
        <f t="shared" ca="1" si="95"/>
        <v>5639714.6750730071</v>
      </c>
      <c r="H734" s="156">
        <f ca="1">SUM($G$8:G734)*gamma</f>
        <v>26312419.619593851</v>
      </c>
      <c r="I734" s="23">
        <f ca="1">MAX(0,ROUND($I$7-$H$7-H734-SUM($G$8:G734),0))</f>
        <v>0</v>
      </c>
      <c r="J734" s="208">
        <f t="shared" ca="1" si="89"/>
        <v>726</v>
      </c>
    </row>
    <row r="735" spans="1:10" ht="15.75" customHeight="1" thickBot="1">
      <c r="A735" s="237" t="str">
        <f t="shared" ca="1" si="90"/>
        <v/>
      </c>
      <c r="B735" s="238" t="str">
        <f t="shared" ca="1" si="91"/>
        <v/>
      </c>
      <c r="C735" s="238" t="str">
        <f t="shared" ca="1" si="92"/>
        <v/>
      </c>
      <c r="D735" s="155">
        <f t="shared" ca="1" si="93"/>
        <v>727</v>
      </c>
      <c r="E735" s="209">
        <f t="shared" ca="1" si="88"/>
        <v>7</v>
      </c>
      <c r="F735" s="10">
        <f t="shared" ca="1" si="94"/>
        <v>68407</v>
      </c>
      <c r="G735" s="156">
        <f t="shared" ca="1" si="95"/>
        <v>5639714.6750730071</v>
      </c>
      <c r="H735" s="156">
        <f ca="1">SUM($G$8:G735)*gamma</f>
        <v>26481611.059846044</v>
      </c>
      <c r="I735" s="23">
        <f ca="1">MAX(0,ROUND($I$7-$H$7-H735-SUM($G$8:G735),0))</f>
        <v>0</v>
      </c>
      <c r="J735" s="208">
        <f t="shared" ca="1" si="89"/>
        <v>727</v>
      </c>
    </row>
    <row r="736" spans="1:10" ht="15.75" customHeight="1" thickBot="1">
      <c r="A736" s="237" t="str">
        <f t="shared" ca="1" si="90"/>
        <v/>
      </c>
      <c r="B736" s="238" t="str">
        <f t="shared" ca="1" si="91"/>
        <v/>
      </c>
      <c r="C736" s="238" t="str">
        <f t="shared" ca="1" si="92"/>
        <v/>
      </c>
      <c r="D736" s="155">
        <f t="shared" ca="1" si="93"/>
        <v>728</v>
      </c>
      <c r="E736" s="209">
        <f t="shared" ca="1" si="88"/>
        <v>8</v>
      </c>
      <c r="F736" s="10">
        <f t="shared" ca="1" si="94"/>
        <v>68437</v>
      </c>
      <c r="G736" s="156">
        <f t="shared" ca="1" si="95"/>
        <v>5639714.6750730071</v>
      </c>
      <c r="H736" s="156">
        <f ca="1">SUM($G$8:G736)*gamma</f>
        <v>26650802.500098232</v>
      </c>
      <c r="I736" s="23">
        <f ca="1">MAX(0,ROUND($I$7-$H$7-H736-SUM($G$8:G736),0))</f>
        <v>0</v>
      </c>
      <c r="J736" s="208">
        <f t="shared" ca="1" si="89"/>
        <v>728</v>
      </c>
    </row>
    <row r="737" spans="1:10" ht="15.75" customHeight="1" thickBot="1">
      <c r="A737" s="237" t="str">
        <f t="shared" ca="1" si="90"/>
        <v/>
      </c>
      <c r="B737" s="238" t="str">
        <f t="shared" ca="1" si="91"/>
        <v/>
      </c>
      <c r="C737" s="238" t="str">
        <f t="shared" ca="1" si="92"/>
        <v/>
      </c>
      <c r="D737" s="155">
        <f t="shared" ca="1" si="93"/>
        <v>729</v>
      </c>
      <c r="E737" s="209">
        <f t="shared" ca="1" si="88"/>
        <v>9</v>
      </c>
      <c r="F737" s="10">
        <f t="shared" ca="1" si="94"/>
        <v>68468</v>
      </c>
      <c r="G737" s="156">
        <f t="shared" ca="1" si="95"/>
        <v>5639714.6750730071</v>
      </c>
      <c r="H737" s="156">
        <f ca="1">SUM($G$8:G737)*gamma</f>
        <v>26819993.940350424</v>
      </c>
      <c r="I737" s="23">
        <f ca="1">MAX(0,ROUND($I$7-$H$7-H737-SUM($G$8:G737),0))</f>
        <v>0</v>
      </c>
      <c r="J737" s="208">
        <f t="shared" ca="1" si="89"/>
        <v>729</v>
      </c>
    </row>
    <row r="738" spans="1:10" ht="15.75" customHeight="1" thickBot="1">
      <c r="A738" s="237" t="str">
        <f t="shared" ca="1" si="90"/>
        <v/>
      </c>
      <c r="B738" s="238" t="str">
        <f t="shared" ca="1" si="91"/>
        <v/>
      </c>
      <c r="C738" s="238" t="str">
        <f t="shared" ca="1" si="92"/>
        <v/>
      </c>
      <c r="D738" s="155">
        <f t="shared" ca="1" si="93"/>
        <v>730</v>
      </c>
      <c r="E738" s="209">
        <f t="shared" ca="1" si="88"/>
        <v>10</v>
      </c>
      <c r="F738" s="10">
        <f t="shared" ca="1" si="94"/>
        <v>68498</v>
      </c>
      <c r="G738" s="156">
        <f t="shared" ca="1" si="95"/>
        <v>5639714.6750730071</v>
      </c>
      <c r="H738" s="156">
        <f ca="1">SUM($G$8:G738)*gamma</f>
        <v>26989185.380602617</v>
      </c>
      <c r="I738" s="23">
        <f ca="1">MAX(0,ROUND($I$7-$H$7-H738-SUM($G$8:G738),0))</f>
        <v>0</v>
      </c>
      <c r="J738" s="208">
        <f t="shared" ca="1" si="89"/>
        <v>730</v>
      </c>
    </row>
    <row r="739" spans="1:10" ht="15.75" customHeight="1" thickBot="1">
      <c r="A739" s="237" t="str">
        <f t="shared" ca="1" si="90"/>
        <v/>
      </c>
      <c r="B739" s="238" t="str">
        <f t="shared" ca="1" si="91"/>
        <v/>
      </c>
      <c r="C739" s="238" t="str">
        <f t="shared" ca="1" si="92"/>
        <v/>
      </c>
      <c r="D739" s="155">
        <f t="shared" ca="1" si="93"/>
        <v>731</v>
      </c>
      <c r="E739" s="209">
        <f t="shared" ca="1" si="88"/>
        <v>11</v>
      </c>
      <c r="F739" s="10">
        <f t="shared" ca="1" si="94"/>
        <v>68529</v>
      </c>
      <c r="G739" s="156">
        <f t="shared" ca="1" si="95"/>
        <v>5639714.6750730071</v>
      </c>
      <c r="H739" s="156">
        <f ca="1">SUM($G$8:G739)*gamma</f>
        <v>27158376.820854805</v>
      </c>
      <c r="I739" s="23">
        <f ca="1">MAX(0,ROUND($I$7-$H$7-H739-SUM($G$8:G739),0))</f>
        <v>0</v>
      </c>
      <c r="J739" s="208">
        <f t="shared" ca="1" si="89"/>
        <v>731</v>
      </c>
    </row>
  </sheetData>
  <sheetProtection algorithmName="SHA-512" hashValue="owJxzj9/ZSPXH/Y2fVCTomL+AtyyTPlWVbN23stwmfbeqr+ubQ+VqYd7AdEw6emgVWK+S2peIq2dkE0/aojqbw==" saltValue="aeqO1NCmop6k+V5gLlufgg==" spinCount="100000" sheet="1" objects="1" scenarios="1"/>
  <mergeCells count="3">
    <mergeCell ref="L6:L7"/>
    <mergeCell ref="M6:N6"/>
    <mergeCell ref="A5:C5"/>
  </mergeCells>
  <conditionalFormatting sqref="E8:E739">
    <cfRule type="cellIs" dxfId="0" priority="1" operator="equal">
      <formula>0</formula>
    </cfRule>
  </conditionalFormatting>
  <pageMargins left="0.70866141732283472" right="0.51181102362204722" top="0.74803149606299213" bottom="0.74803149606299213" header="0.31496062992125984" footer="0.31496062992125984"/>
  <pageSetup paperSize="9" scale="56" firstPageNumber="4" orientation="portrait" useFirstPageNumber="1" horizontalDpi="300" r:id="rId1"/>
  <headerFooter>
    <oddFooter xml:space="preserve">&amp;R
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51C6-0B4C-4D7B-9EDE-C49E10AF4713}">
  <sheetPr codeName="Лист26"/>
  <dimension ref="A1:F84"/>
  <sheetViews>
    <sheetView view="pageBreakPreview" zoomScale="90" zoomScaleNormal="100" zoomScaleSheetLayoutView="90" workbookViewId="0">
      <selection activeCell="B8" sqref="B8:C8"/>
    </sheetView>
  </sheetViews>
  <sheetFormatPr defaultRowHeight="13.2"/>
  <cols>
    <col min="1" max="1" width="20.5546875" style="24" customWidth="1"/>
    <col min="2" max="3" width="69.33203125" style="24" customWidth="1"/>
    <col min="4" max="4" width="28.5546875" style="24" customWidth="1"/>
    <col min="5" max="5" width="32" style="24" customWidth="1"/>
    <col min="6" max="6" width="15" style="24" customWidth="1"/>
    <col min="7" max="253" width="9.109375" style="24"/>
    <col min="254" max="254" width="20.5546875" style="24" customWidth="1"/>
    <col min="255" max="255" width="68.44140625" style="24" customWidth="1"/>
    <col min="256" max="257" width="10.109375" style="24" bestFit="1" customWidth="1"/>
    <col min="258" max="258" width="10.109375" style="24" customWidth="1"/>
    <col min="259" max="259" width="28.5546875" style="24" customWidth="1"/>
    <col min="260" max="260" width="32" style="24" customWidth="1"/>
    <col min="261" max="261" width="15" style="24" customWidth="1"/>
    <col min="262" max="509" width="9.109375" style="24"/>
    <col min="510" max="510" width="20.5546875" style="24" customWidth="1"/>
    <col min="511" max="511" width="68.44140625" style="24" customWidth="1"/>
    <col min="512" max="513" width="10.109375" style="24" bestFit="1" customWidth="1"/>
    <col min="514" max="514" width="10.109375" style="24" customWidth="1"/>
    <col min="515" max="515" width="28.5546875" style="24" customWidth="1"/>
    <col min="516" max="516" width="32" style="24" customWidth="1"/>
    <col min="517" max="517" width="15" style="24" customWidth="1"/>
    <col min="518" max="765" width="9.109375" style="24"/>
    <col min="766" max="766" width="20.5546875" style="24" customWidth="1"/>
    <col min="767" max="767" width="68.44140625" style="24" customWidth="1"/>
    <col min="768" max="769" width="10.109375" style="24" bestFit="1" customWidth="1"/>
    <col min="770" max="770" width="10.109375" style="24" customWidth="1"/>
    <col min="771" max="771" width="28.5546875" style="24" customWidth="1"/>
    <col min="772" max="772" width="32" style="24" customWidth="1"/>
    <col min="773" max="773" width="15" style="24" customWidth="1"/>
    <col min="774" max="1021" width="9.109375" style="24"/>
    <col min="1022" max="1022" width="20.5546875" style="24" customWidth="1"/>
    <col min="1023" max="1023" width="68.44140625" style="24" customWidth="1"/>
    <col min="1024" max="1025" width="10.109375" style="24" bestFit="1" customWidth="1"/>
    <col min="1026" max="1026" width="10.109375" style="24" customWidth="1"/>
    <col min="1027" max="1027" width="28.5546875" style="24" customWidth="1"/>
    <col min="1028" max="1028" width="32" style="24" customWidth="1"/>
    <col min="1029" max="1029" width="15" style="24" customWidth="1"/>
    <col min="1030" max="1277" width="9.109375" style="24"/>
    <col min="1278" max="1278" width="20.5546875" style="24" customWidth="1"/>
    <col min="1279" max="1279" width="68.44140625" style="24" customWidth="1"/>
    <col min="1280" max="1281" width="10.109375" style="24" bestFit="1" customWidth="1"/>
    <col min="1282" max="1282" width="10.109375" style="24" customWidth="1"/>
    <col min="1283" max="1283" width="28.5546875" style="24" customWidth="1"/>
    <col min="1284" max="1284" width="32" style="24" customWidth="1"/>
    <col min="1285" max="1285" width="15" style="24" customWidth="1"/>
    <col min="1286" max="1533" width="9.109375" style="24"/>
    <col min="1534" max="1534" width="20.5546875" style="24" customWidth="1"/>
    <col min="1535" max="1535" width="68.44140625" style="24" customWidth="1"/>
    <col min="1536" max="1537" width="10.109375" style="24" bestFit="1" customWidth="1"/>
    <col min="1538" max="1538" width="10.109375" style="24" customWidth="1"/>
    <col min="1539" max="1539" width="28.5546875" style="24" customWidth="1"/>
    <col min="1540" max="1540" width="32" style="24" customWidth="1"/>
    <col min="1541" max="1541" width="15" style="24" customWidth="1"/>
    <col min="1542" max="1789" width="9.109375" style="24"/>
    <col min="1790" max="1790" width="20.5546875" style="24" customWidth="1"/>
    <col min="1791" max="1791" width="68.44140625" style="24" customWidth="1"/>
    <col min="1792" max="1793" width="10.109375" style="24" bestFit="1" customWidth="1"/>
    <col min="1794" max="1794" width="10.109375" style="24" customWidth="1"/>
    <col min="1795" max="1795" width="28.5546875" style="24" customWidth="1"/>
    <col min="1796" max="1796" width="32" style="24" customWidth="1"/>
    <col min="1797" max="1797" width="15" style="24" customWidth="1"/>
    <col min="1798" max="2045" width="9.109375" style="24"/>
    <col min="2046" max="2046" width="20.5546875" style="24" customWidth="1"/>
    <col min="2047" max="2047" width="68.44140625" style="24" customWidth="1"/>
    <col min="2048" max="2049" width="10.109375" style="24" bestFit="1" customWidth="1"/>
    <col min="2050" max="2050" width="10.109375" style="24" customWidth="1"/>
    <col min="2051" max="2051" width="28.5546875" style="24" customWidth="1"/>
    <col min="2052" max="2052" width="32" style="24" customWidth="1"/>
    <col min="2053" max="2053" width="15" style="24" customWidth="1"/>
    <col min="2054" max="2301" width="9.109375" style="24"/>
    <col min="2302" max="2302" width="20.5546875" style="24" customWidth="1"/>
    <col min="2303" max="2303" width="68.44140625" style="24" customWidth="1"/>
    <col min="2304" max="2305" width="10.109375" style="24" bestFit="1" customWidth="1"/>
    <col min="2306" max="2306" width="10.109375" style="24" customWidth="1"/>
    <col min="2307" max="2307" width="28.5546875" style="24" customWidth="1"/>
    <col min="2308" max="2308" width="32" style="24" customWidth="1"/>
    <col min="2309" max="2309" width="15" style="24" customWidth="1"/>
    <col min="2310" max="2557" width="9.109375" style="24"/>
    <col min="2558" max="2558" width="20.5546875" style="24" customWidth="1"/>
    <col min="2559" max="2559" width="68.44140625" style="24" customWidth="1"/>
    <col min="2560" max="2561" width="10.109375" style="24" bestFit="1" customWidth="1"/>
    <col min="2562" max="2562" width="10.109375" style="24" customWidth="1"/>
    <col min="2563" max="2563" width="28.5546875" style="24" customWidth="1"/>
    <col min="2564" max="2564" width="32" style="24" customWidth="1"/>
    <col min="2565" max="2565" width="15" style="24" customWidth="1"/>
    <col min="2566" max="2813" width="9.109375" style="24"/>
    <col min="2814" max="2814" width="20.5546875" style="24" customWidth="1"/>
    <col min="2815" max="2815" width="68.44140625" style="24" customWidth="1"/>
    <col min="2816" max="2817" width="10.109375" style="24" bestFit="1" customWidth="1"/>
    <col min="2818" max="2818" width="10.109375" style="24" customWidth="1"/>
    <col min="2819" max="2819" width="28.5546875" style="24" customWidth="1"/>
    <col min="2820" max="2820" width="32" style="24" customWidth="1"/>
    <col min="2821" max="2821" width="15" style="24" customWidth="1"/>
    <col min="2822" max="3069" width="9.109375" style="24"/>
    <col min="3070" max="3070" width="20.5546875" style="24" customWidth="1"/>
    <col min="3071" max="3071" width="68.44140625" style="24" customWidth="1"/>
    <col min="3072" max="3073" width="10.109375" style="24" bestFit="1" customWidth="1"/>
    <col min="3074" max="3074" width="10.109375" style="24" customWidth="1"/>
    <col min="3075" max="3075" width="28.5546875" style="24" customWidth="1"/>
    <col min="3076" max="3076" width="32" style="24" customWidth="1"/>
    <col min="3077" max="3077" width="15" style="24" customWidth="1"/>
    <col min="3078" max="3325" width="9.109375" style="24"/>
    <col min="3326" max="3326" width="20.5546875" style="24" customWidth="1"/>
    <col min="3327" max="3327" width="68.44140625" style="24" customWidth="1"/>
    <col min="3328" max="3329" width="10.109375" style="24" bestFit="1" customWidth="1"/>
    <col min="3330" max="3330" width="10.109375" style="24" customWidth="1"/>
    <col min="3331" max="3331" width="28.5546875" style="24" customWidth="1"/>
    <col min="3332" max="3332" width="32" style="24" customWidth="1"/>
    <col min="3333" max="3333" width="15" style="24" customWidth="1"/>
    <col min="3334" max="3581" width="9.109375" style="24"/>
    <col min="3582" max="3582" width="20.5546875" style="24" customWidth="1"/>
    <col min="3583" max="3583" width="68.44140625" style="24" customWidth="1"/>
    <col min="3584" max="3585" width="10.109375" style="24" bestFit="1" customWidth="1"/>
    <col min="3586" max="3586" width="10.109375" style="24" customWidth="1"/>
    <col min="3587" max="3587" width="28.5546875" style="24" customWidth="1"/>
    <col min="3588" max="3588" width="32" style="24" customWidth="1"/>
    <col min="3589" max="3589" width="15" style="24" customWidth="1"/>
    <col min="3590" max="3837" width="9.109375" style="24"/>
    <col min="3838" max="3838" width="20.5546875" style="24" customWidth="1"/>
    <col min="3839" max="3839" width="68.44140625" style="24" customWidth="1"/>
    <col min="3840" max="3841" width="10.109375" style="24" bestFit="1" customWidth="1"/>
    <col min="3842" max="3842" width="10.109375" style="24" customWidth="1"/>
    <col min="3843" max="3843" width="28.5546875" style="24" customWidth="1"/>
    <col min="3844" max="3844" width="32" style="24" customWidth="1"/>
    <col min="3845" max="3845" width="15" style="24" customWidth="1"/>
    <col min="3846" max="4093" width="9.109375" style="24"/>
    <col min="4094" max="4094" width="20.5546875" style="24" customWidth="1"/>
    <col min="4095" max="4095" width="68.44140625" style="24" customWidth="1"/>
    <col min="4096" max="4097" width="10.109375" style="24" bestFit="1" customWidth="1"/>
    <col min="4098" max="4098" width="10.109375" style="24" customWidth="1"/>
    <col min="4099" max="4099" width="28.5546875" style="24" customWidth="1"/>
    <col min="4100" max="4100" width="32" style="24" customWidth="1"/>
    <col min="4101" max="4101" width="15" style="24" customWidth="1"/>
    <col min="4102" max="4349" width="9.109375" style="24"/>
    <col min="4350" max="4350" width="20.5546875" style="24" customWidth="1"/>
    <col min="4351" max="4351" width="68.44140625" style="24" customWidth="1"/>
    <col min="4352" max="4353" width="10.109375" style="24" bestFit="1" customWidth="1"/>
    <col min="4354" max="4354" width="10.109375" style="24" customWidth="1"/>
    <col min="4355" max="4355" width="28.5546875" style="24" customWidth="1"/>
    <col min="4356" max="4356" width="32" style="24" customWidth="1"/>
    <col min="4357" max="4357" width="15" style="24" customWidth="1"/>
    <col min="4358" max="4605" width="9.109375" style="24"/>
    <col min="4606" max="4606" width="20.5546875" style="24" customWidth="1"/>
    <col min="4607" max="4607" width="68.44140625" style="24" customWidth="1"/>
    <col min="4608" max="4609" width="10.109375" style="24" bestFit="1" customWidth="1"/>
    <col min="4610" max="4610" width="10.109375" style="24" customWidth="1"/>
    <col min="4611" max="4611" width="28.5546875" style="24" customWidth="1"/>
    <col min="4612" max="4612" width="32" style="24" customWidth="1"/>
    <col min="4613" max="4613" width="15" style="24" customWidth="1"/>
    <col min="4614" max="4861" width="9.109375" style="24"/>
    <col min="4862" max="4862" width="20.5546875" style="24" customWidth="1"/>
    <col min="4863" max="4863" width="68.44140625" style="24" customWidth="1"/>
    <col min="4864" max="4865" width="10.109375" style="24" bestFit="1" customWidth="1"/>
    <col min="4866" max="4866" width="10.109375" style="24" customWidth="1"/>
    <col min="4867" max="4867" width="28.5546875" style="24" customWidth="1"/>
    <col min="4868" max="4868" width="32" style="24" customWidth="1"/>
    <col min="4869" max="4869" width="15" style="24" customWidth="1"/>
    <col min="4870" max="5117" width="9.109375" style="24"/>
    <col min="5118" max="5118" width="20.5546875" style="24" customWidth="1"/>
    <col min="5119" max="5119" width="68.44140625" style="24" customWidth="1"/>
    <col min="5120" max="5121" width="10.109375" style="24" bestFit="1" customWidth="1"/>
    <col min="5122" max="5122" width="10.109375" style="24" customWidth="1"/>
    <col min="5123" max="5123" width="28.5546875" style="24" customWidth="1"/>
    <col min="5124" max="5124" width="32" style="24" customWidth="1"/>
    <col min="5125" max="5125" width="15" style="24" customWidth="1"/>
    <col min="5126" max="5373" width="9.109375" style="24"/>
    <col min="5374" max="5374" width="20.5546875" style="24" customWidth="1"/>
    <col min="5375" max="5375" width="68.44140625" style="24" customWidth="1"/>
    <col min="5376" max="5377" width="10.109375" style="24" bestFit="1" customWidth="1"/>
    <col min="5378" max="5378" width="10.109375" style="24" customWidth="1"/>
    <col min="5379" max="5379" width="28.5546875" style="24" customWidth="1"/>
    <col min="5380" max="5380" width="32" style="24" customWidth="1"/>
    <col min="5381" max="5381" width="15" style="24" customWidth="1"/>
    <col min="5382" max="5629" width="9.109375" style="24"/>
    <col min="5630" max="5630" width="20.5546875" style="24" customWidth="1"/>
    <col min="5631" max="5631" width="68.44140625" style="24" customWidth="1"/>
    <col min="5632" max="5633" width="10.109375" style="24" bestFit="1" customWidth="1"/>
    <col min="5634" max="5634" width="10.109375" style="24" customWidth="1"/>
    <col min="5635" max="5635" width="28.5546875" style="24" customWidth="1"/>
    <col min="5636" max="5636" width="32" style="24" customWidth="1"/>
    <col min="5637" max="5637" width="15" style="24" customWidth="1"/>
    <col min="5638" max="5885" width="9.109375" style="24"/>
    <col min="5886" max="5886" width="20.5546875" style="24" customWidth="1"/>
    <col min="5887" max="5887" width="68.44140625" style="24" customWidth="1"/>
    <col min="5888" max="5889" width="10.109375" style="24" bestFit="1" customWidth="1"/>
    <col min="5890" max="5890" width="10.109375" style="24" customWidth="1"/>
    <col min="5891" max="5891" width="28.5546875" style="24" customWidth="1"/>
    <col min="5892" max="5892" width="32" style="24" customWidth="1"/>
    <col min="5893" max="5893" width="15" style="24" customWidth="1"/>
    <col min="5894" max="6141" width="9.109375" style="24"/>
    <col min="6142" max="6142" width="20.5546875" style="24" customWidth="1"/>
    <col min="6143" max="6143" width="68.44140625" style="24" customWidth="1"/>
    <col min="6144" max="6145" width="10.109375" style="24" bestFit="1" customWidth="1"/>
    <col min="6146" max="6146" width="10.109375" style="24" customWidth="1"/>
    <col min="6147" max="6147" width="28.5546875" style="24" customWidth="1"/>
    <col min="6148" max="6148" width="32" style="24" customWidth="1"/>
    <col min="6149" max="6149" width="15" style="24" customWidth="1"/>
    <col min="6150" max="6397" width="9.109375" style="24"/>
    <col min="6398" max="6398" width="20.5546875" style="24" customWidth="1"/>
    <col min="6399" max="6399" width="68.44140625" style="24" customWidth="1"/>
    <col min="6400" max="6401" width="10.109375" style="24" bestFit="1" customWidth="1"/>
    <col min="6402" max="6402" width="10.109375" style="24" customWidth="1"/>
    <col min="6403" max="6403" width="28.5546875" style="24" customWidth="1"/>
    <col min="6404" max="6404" width="32" style="24" customWidth="1"/>
    <col min="6405" max="6405" width="15" style="24" customWidth="1"/>
    <col min="6406" max="6653" width="9.109375" style="24"/>
    <col min="6654" max="6654" width="20.5546875" style="24" customWidth="1"/>
    <col min="6655" max="6655" width="68.44140625" style="24" customWidth="1"/>
    <col min="6656" max="6657" width="10.109375" style="24" bestFit="1" customWidth="1"/>
    <col min="6658" max="6658" width="10.109375" style="24" customWidth="1"/>
    <col min="6659" max="6659" width="28.5546875" style="24" customWidth="1"/>
    <col min="6660" max="6660" width="32" style="24" customWidth="1"/>
    <col min="6661" max="6661" width="15" style="24" customWidth="1"/>
    <col min="6662" max="6909" width="9.109375" style="24"/>
    <col min="6910" max="6910" width="20.5546875" style="24" customWidth="1"/>
    <col min="6911" max="6911" width="68.44140625" style="24" customWidth="1"/>
    <col min="6912" max="6913" width="10.109375" style="24" bestFit="1" customWidth="1"/>
    <col min="6914" max="6914" width="10.109375" style="24" customWidth="1"/>
    <col min="6915" max="6915" width="28.5546875" style="24" customWidth="1"/>
    <col min="6916" max="6916" width="32" style="24" customWidth="1"/>
    <col min="6917" max="6917" width="15" style="24" customWidth="1"/>
    <col min="6918" max="7165" width="9.109375" style="24"/>
    <col min="7166" max="7166" width="20.5546875" style="24" customWidth="1"/>
    <col min="7167" max="7167" width="68.44140625" style="24" customWidth="1"/>
    <col min="7168" max="7169" width="10.109375" style="24" bestFit="1" customWidth="1"/>
    <col min="7170" max="7170" width="10.109375" style="24" customWidth="1"/>
    <col min="7171" max="7171" width="28.5546875" style="24" customWidth="1"/>
    <col min="7172" max="7172" width="32" style="24" customWidth="1"/>
    <col min="7173" max="7173" width="15" style="24" customWidth="1"/>
    <col min="7174" max="7421" width="9.109375" style="24"/>
    <col min="7422" max="7422" width="20.5546875" style="24" customWidth="1"/>
    <col min="7423" max="7423" width="68.44140625" style="24" customWidth="1"/>
    <col min="7424" max="7425" width="10.109375" style="24" bestFit="1" customWidth="1"/>
    <col min="7426" max="7426" width="10.109375" style="24" customWidth="1"/>
    <col min="7427" max="7427" width="28.5546875" style="24" customWidth="1"/>
    <col min="7428" max="7428" width="32" style="24" customWidth="1"/>
    <col min="7429" max="7429" width="15" style="24" customWidth="1"/>
    <col min="7430" max="7677" width="9.109375" style="24"/>
    <col min="7678" max="7678" width="20.5546875" style="24" customWidth="1"/>
    <col min="7679" max="7679" width="68.44140625" style="24" customWidth="1"/>
    <col min="7680" max="7681" width="10.109375" style="24" bestFit="1" customWidth="1"/>
    <col min="7682" max="7682" width="10.109375" style="24" customWidth="1"/>
    <col min="7683" max="7683" width="28.5546875" style="24" customWidth="1"/>
    <col min="7684" max="7684" width="32" style="24" customWidth="1"/>
    <col min="7685" max="7685" width="15" style="24" customWidth="1"/>
    <col min="7686" max="7933" width="9.109375" style="24"/>
    <col min="7934" max="7934" width="20.5546875" style="24" customWidth="1"/>
    <col min="7935" max="7935" width="68.44140625" style="24" customWidth="1"/>
    <col min="7936" max="7937" width="10.109375" style="24" bestFit="1" customWidth="1"/>
    <col min="7938" max="7938" width="10.109375" style="24" customWidth="1"/>
    <col min="7939" max="7939" width="28.5546875" style="24" customWidth="1"/>
    <col min="7940" max="7940" width="32" style="24" customWidth="1"/>
    <col min="7941" max="7941" width="15" style="24" customWidth="1"/>
    <col min="7942" max="8189" width="9.109375" style="24"/>
    <col min="8190" max="8190" width="20.5546875" style="24" customWidth="1"/>
    <col min="8191" max="8191" width="68.44140625" style="24" customWidth="1"/>
    <col min="8192" max="8193" width="10.109375" style="24" bestFit="1" customWidth="1"/>
    <col min="8194" max="8194" width="10.109375" style="24" customWidth="1"/>
    <col min="8195" max="8195" width="28.5546875" style="24" customWidth="1"/>
    <col min="8196" max="8196" width="32" style="24" customWidth="1"/>
    <col min="8197" max="8197" width="15" style="24" customWidth="1"/>
    <col min="8198" max="8445" width="9.109375" style="24"/>
    <col min="8446" max="8446" width="20.5546875" style="24" customWidth="1"/>
    <col min="8447" max="8447" width="68.44140625" style="24" customWidth="1"/>
    <col min="8448" max="8449" width="10.109375" style="24" bestFit="1" customWidth="1"/>
    <col min="8450" max="8450" width="10.109375" style="24" customWidth="1"/>
    <col min="8451" max="8451" width="28.5546875" style="24" customWidth="1"/>
    <col min="8452" max="8452" width="32" style="24" customWidth="1"/>
    <col min="8453" max="8453" width="15" style="24" customWidth="1"/>
    <col min="8454" max="8701" width="9.109375" style="24"/>
    <col min="8702" max="8702" width="20.5546875" style="24" customWidth="1"/>
    <col min="8703" max="8703" width="68.44140625" style="24" customWidth="1"/>
    <col min="8704" max="8705" width="10.109375" style="24" bestFit="1" customWidth="1"/>
    <col min="8706" max="8706" width="10.109375" style="24" customWidth="1"/>
    <col min="8707" max="8707" width="28.5546875" style="24" customWidth="1"/>
    <col min="8708" max="8708" width="32" style="24" customWidth="1"/>
    <col min="8709" max="8709" width="15" style="24" customWidth="1"/>
    <col min="8710" max="8957" width="9.109375" style="24"/>
    <col min="8958" max="8958" width="20.5546875" style="24" customWidth="1"/>
    <col min="8959" max="8959" width="68.44140625" style="24" customWidth="1"/>
    <col min="8960" max="8961" width="10.109375" style="24" bestFit="1" customWidth="1"/>
    <col min="8962" max="8962" width="10.109375" style="24" customWidth="1"/>
    <col min="8963" max="8963" width="28.5546875" style="24" customWidth="1"/>
    <col min="8964" max="8964" width="32" style="24" customWidth="1"/>
    <col min="8965" max="8965" width="15" style="24" customWidth="1"/>
    <col min="8966" max="9213" width="9.109375" style="24"/>
    <col min="9214" max="9214" width="20.5546875" style="24" customWidth="1"/>
    <col min="9215" max="9215" width="68.44140625" style="24" customWidth="1"/>
    <col min="9216" max="9217" width="10.109375" style="24" bestFit="1" customWidth="1"/>
    <col min="9218" max="9218" width="10.109375" style="24" customWidth="1"/>
    <col min="9219" max="9219" width="28.5546875" style="24" customWidth="1"/>
    <col min="9220" max="9220" width="32" style="24" customWidth="1"/>
    <col min="9221" max="9221" width="15" style="24" customWidth="1"/>
    <col min="9222" max="9469" width="9.109375" style="24"/>
    <col min="9470" max="9470" width="20.5546875" style="24" customWidth="1"/>
    <col min="9471" max="9471" width="68.44140625" style="24" customWidth="1"/>
    <col min="9472" max="9473" width="10.109375" style="24" bestFit="1" customWidth="1"/>
    <col min="9474" max="9474" width="10.109375" style="24" customWidth="1"/>
    <col min="9475" max="9475" width="28.5546875" style="24" customWidth="1"/>
    <col min="9476" max="9476" width="32" style="24" customWidth="1"/>
    <col min="9477" max="9477" width="15" style="24" customWidth="1"/>
    <col min="9478" max="9725" width="9.109375" style="24"/>
    <col min="9726" max="9726" width="20.5546875" style="24" customWidth="1"/>
    <col min="9727" max="9727" width="68.44140625" style="24" customWidth="1"/>
    <col min="9728" max="9729" width="10.109375" style="24" bestFit="1" customWidth="1"/>
    <col min="9730" max="9730" width="10.109375" style="24" customWidth="1"/>
    <col min="9731" max="9731" width="28.5546875" style="24" customWidth="1"/>
    <col min="9732" max="9732" width="32" style="24" customWidth="1"/>
    <col min="9733" max="9733" width="15" style="24" customWidth="1"/>
    <col min="9734" max="9981" width="9.109375" style="24"/>
    <col min="9982" max="9982" width="20.5546875" style="24" customWidth="1"/>
    <col min="9983" max="9983" width="68.44140625" style="24" customWidth="1"/>
    <col min="9984" max="9985" width="10.109375" style="24" bestFit="1" customWidth="1"/>
    <col min="9986" max="9986" width="10.109375" style="24" customWidth="1"/>
    <col min="9987" max="9987" width="28.5546875" style="24" customWidth="1"/>
    <col min="9988" max="9988" width="32" style="24" customWidth="1"/>
    <col min="9989" max="9989" width="15" style="24" customWidth="1"/>
    <col min="9990" max="10237" width="9.109375" style="24"/>
    <col min="10238" max="10238" width="20.5546875" style="24" customWidth="1"/>
    <col min="10239" max="10239" width="68.44140625" style="24" customWidth="1"/>
    <col min="10240" max="10241" width="10.109375" style="24" bestFit="1" customWidth="1"/>
    <col min="10242" max="10242" width="10.109375" style="24" customWidth="1"/>
    <col min="10243" max="10243" width="28.5546875" style="24" customWidth="1"/>
    <col min="10244" max="10244" width="32" style="24" customWidth="1"/>
    <col min="10245" max="10245" width="15" style="24" customWidth="1"/>
    <col min="10246" max="10493" width="9.109375" style="24"/>
    <col min="10494" max="10494" width="20.5546875" style="24" customWidth="1"/>
    <col min="10495" max="10495" width="68.44140625" style="24" customWidth="1"/>
    <col min="10496" max="10497" width="10.109375" style="24" bestFit="1" customWidth="1"/>
    <col min="10498" max="10498" width="10.109375" style="24" customWidth="1"/>
    <col min="10499" max="10499" width="28.5546875" style="24" customWidth="1"/>
    <col min="10500" max="10500" width="32" style="24" customWidth="1"/>
    <col min="10501" max="10501" width="15" style="24" customWidth="1"/>
    <col min="10502" max="10749" width="9.109375" style="24"/>
    <col min="10750" max="10750" width="20.5546875" style="24" customWidth="1"/>
    <col min="10751" max="10751" width="68.44140625" style="24" customWidth="1"/>
    <col min="10752" max="10753" width="10.109375" style="24" bestFit="1" customWidth="1"/>
    <col min="10754" max="10754" width="10.109375" style="24" customWidth="1"/>
    <col min="10755" max="10755" width="28.5546875" style="24" customWidth="1"/>
    <col min="10756" max="10756" width="32" style="24" customWidth="1"/>
    <col min="10757" max="10757" width="15" style="24" customWidth="1"/>
    <col min="10758" max="11005" width="9.109375" style="24"/>
    <col min="11006" max="11006" width="20.5546875" style="24" customWidth="1"/>
    <col min="11007" max="11007" width="68.44140625" style="24" customWidth="1"/>
    <col min="11008" max="11009" width="10.109375" style="24" bestFit="1" customWidth="1"/>
    <col min="11010" max="11010" width="10.109375" style="24" customWidth="1"/>
    <col min="11011" max="11011" width="28.5546875" style="24" customWidth="1"/>
    <col min="11012" max="11012" width="32" style="24" customWidth="1"/>
    <col min="11013" max="11013" width="15" style="24" customWidth="1"/>
    <col min="11014" max="11261" width="9.109375" style="24"/>
    <col min="11262" max="11262" width="20.5546875" style="24" customWidth="1"/>
    <col min="11263" max="11263" width="68.44140625" style="24" customWidth="1"/>
    <col min="11264" max="11265" width="10.109375" style="24" bestFit="1" customWidth="1"/>
    <col min="11266" max="11266" width="10.109375" style="24" customWidth="1"/>
    <col min="11267" max="11267" width="28.5546875" style="24" customWidth="1"/>
    <col min="11268" max="11268" width="32" style="24" customWidth="1"/>
    <col min="11269" max="11269" width="15" style="24" customWidth="1"/>
    <col min="11270" max="11517" width="9.109375" style="24"/>
    <col min="11518" max="11518" width="20.5546875" style="24" customWidth="1"/>
    <col min="11519" max="11519" width="68.44140625" style="24" customWidth="1"/>
    <col min="11520" max="11521" width="10.109375" style="24" bestFit="1" customWidth="1"/>
    <col min="11522" max="11522" width="10.109375" style="24" customWidth="1"/>
    <col min="11523" max="11523" width="28.5546875" style="24" customWidth="1"/>
    <col min="11524" max="11524" width="32" style="24" customWidth="1"/>
    <col min="11525" max="11525" width="15" style="24" customWidth="1"/>
    <col min="11526" max="11773" width="9.109375" style="24"/>
    <col min="11774" max="11774" width="20.5546875" style="24" customWidth="1"/>
    <col min="11775" max="11775" width="68.44140625" style="24" customWidth="1"/>
    <col min="11776" max="11777" width="10.109375" style="24" bestFit="1" customWidth="1"/>
    <col min="11778" max="11778" width="10.109375" style="24" customWidth="1"/>
    <col min="11779" max="11779" width="28.5546875" style="24" customWidth="1"/>
    <col min="11780" max="11780" width="32" style="24" customWidth="1"/>
    <col min="11781" max="11781" width="15" style="24" customWidth="1"/>
    <col min="11782" max="12029" width="9.109375" style="24"/>
    <col min="12030" max="12030" width="20.5546875" style="24" customWidth="1"/>
    <col min="12031" max="12031" width="68.44140625" style="24" customWidth="1"/>
    <col min="12032" max="12033" width="10.109375" style="24" bestFit="1" customWidth="1"/>
    <col min="12034" max="12034" width="10.109375" style="24" customWidth="1"/>
    <col min="12035" max="12035" width="28.5546875" style="24" customWidth="1"/>
    <col min="12036" max="12036" width="32" style="24" customWidth="1"/>
    <col min="12037" max="12037" width="15" style="24" customWidth="1"/>
    <col min="12038" max="12285" width="9.109375" style="24"/>
    <col min="12286" max="12286" width="20.5546875" style="24" customWidth="1"/>
    <col min="12287" max="12287" width="68.44140625" style="24" customWidth="1"/>
    <col min="12288" max="12289" width="10.109375" style="24" bestFit="1" customWidth="1"/>
    <col min="12290" max="12290" width="10.109375" style="24" customWidth="1"/>
    <col min="12291" max="12291" width="28.5546875" style="24" customWidth="1"/>
    <col min="12292" max="12292" width="32" style="24" customWidth="1"/>
    <col min="12293" max="12293" width="15" style="24" customWidth="1"/>
    <col min="12294" max="12541" width="9.109375" style="24"/>
    <col min="12542" max="12542" width="20.5546875" style="24" customWidth="1"/>
    <col min="12543" max="12543" width="68.44140625" style="24" customWidth="1"/>
    <col min="12544" max="12545" width="10.109375" style="24" bestFit="1" customWidth="1"/>
    <col min="12546" max="12546" width="10.109375" style="24" customWidth="1"/>
    <col min="12547" max="12547" width="28.5546875" style="24" customWidth="1"/>
    <col min="12548" max="12548" width="32" style="24" customWidth="1"/>
    <col min="12549" max="12549" width="15" style="24" customWidth="1"/>
    <col min="12550" max="12797" width="9.109375" style="24"/>
    <col min="12798" max="12798" width="20.5546875" style="24" customWidth="1"/>
    <col min="12799" max="12799" width="68.44140625" style="24" customWidth="1"/>
    <col min="12800" max="12801" width="10.109375" style="24" bestFit="1" customWidth="1"/>
    <col min="12802" max="12802" width="10.109375" style="24" customWidth="1"/>
    <col min="12803" max="12803" width="28.5546875" style="24" customWidth="1"/>
    <col min="12804" max="12804" width="32" style="24" customWidth="1"/>
    <col min="12805" max="12805" width="15" style="24" customWidth="1"/>
    <col min="12806" max="13053" width="9.109375" style="24"/>
    <col min="13054" max="13054" width="20.5546875" style="24" customWidth="1"/>
    <col min="13055" max="13055" width="68.44140625" style="24" customWidth="1"/>
    <col min="13056" max="13057" width="10.109375" style="24" bestFit="1" customWidth="1"/>
    <col min="13058" max="13058" width="10.109375" style="24" customWidth="1"/>
    <col min="13059" max="13059" width="28.5546875" style="24" customWidth="1"/>
    <col min="13060" max="13060" width="32" style="24" customWidth="1"/>
    <col min="13061" max="13061" width="15" style="24" customWidth="1"/>
    <col min="13062" max="13309" width="9.109375" style="24"/>
    <col min="13310" max="13310" width="20.5546875" style="24" customWidth="1"/>
    <col min="13311" max="13311" width="68.44140625" style="24" customWidth="1"/>
    <col min="13312" max="13313" width="10.109375" style="24" bestFit="1" customWidth="1"/>
    <col min="13314" max="13314" width="10.109375" style="24" customWidth="1"/>
    <col min="13315" max="13315" width="28.5546875" style="24" customWidth="1"/>
    <col min="13316" max="13316" width="32" style="24" customWidth="1"/>
    <col min="13317" max="13317" width="15" style="24" customWidth="1"/>
    <col min="13318" max="13565" width="9.109375" style="24"/>
    <col min="13566" max="13566" width="20.5546875" style="24" customWidth="1"/>
    <col min="13567" max="13567" width="68.44140625" style="24" customWidth="1"/>
    <col min="13568" max="13569" width="10.109375" style="24" bestFit="1" customWidth="1"/>
    <col min="13570" max="13570" width="10.109375" style="24" customWidth="1"/>
    <col min="13571" max="13571" width="28.5546875" style="24" customWidth="1"/>
    <col min="13572" max="13572" width="32" style="24" customWidth="1"/>
    <col min="13573" max="13573" width="15" style="24" customWidth="1"/>
    <col min="13574" max="13821" width="9.109375" style="24"/>
    <col min="13822" max="13822" width="20.5546875" style="24" customWidth="1"/>
    <col min="13823" max="13823" width="68.44140625" style="24" customWidth="1"/>
    <col min="13824" max="13825" width="10.109375" style="24" bestFit="1" customWidth="1"/>
    <col min="13826" max="13826" width="10.109375" style="24" customWidth="1"/>
    <col min="13827" max="13827" width="28.5546875" style="24" customWidth="1"/>
    <col min="13828" max="13828" width="32" style="24" customWidth="1"/>
    <col min="13829" max="13829" width="15" style="24" customWidth="1"/>
    <col min="13830" max="14077" width="9.109375" style="24"/>
    <col min="14078" max="14078" width="20.5546875" style="24" customWidth="1"/>
    <col min="14079" max="14079" width="68.44140625" style="24" customWidth="1"/>
    <col min="14080" max="14081" width="10.109375" style="24" bestFit="1" customWidth="1"/>
    <col min="14082" max="14082" width="10.109375" style="24" customWidth="1"/>
    <col min="14083" max="14083" width="28.5546875" style="24" customWidth="1"/>
    <col min="14084" max="14084" width="32" style="24" customWidth="1"/>
    <col min="14085" max="14085" width="15" style="24" customWidth="1"/>
    <col min="14086" max="14333" width="9.109375" style="24"/>
    <col min="14334" max="14334" width="20.5546875" style="24" customWidth="1"/>
    <col min="14335" max="14335" width="68.44140625" style="24" customWidth="1"/>
    <col min="14336" max="14337" width="10.109375" style="24" bestFit="1" customWidth="1"/>
    <col min="14338" max="14338" width="10.109375" style="24" customWidth="1"/>
    <col min="14339" max="14339" width="28.5546875" style="24" customWidth="1"/>
    <col min="14340" max="14340" width="32" style="24" customWidth="1"/>
    <col min="14341" max="14341" width="15" style="24" customWidth="1"/>
    <col min="14342" max="14589" width="9.109375" style="24"/>
    <col min="14590" max="14590" width="20.5546875" style="24" customWidth="1"/>
    <col min="14591" max="14591" width="68.44140625" style="24" customWidth="1"/>
    <col min="14592" max="14593" width="10.109375" style="24" bestFit="1" customWidth="1"/>
    <col min="14594" max="14594" width="10.109375" style="24" customWidth="1"/>
    <col min="14595" max="14595" width="28.5546875" style="24" customWidth="1"/>
    <col min="14596" max="14596" width="32" style="24" customWidth="1"/>
    <col min="14597" max="14597" width="15" style="24" customWidth="1"/>
    <col min="14598" max="14845" width="9.109375" style="24"/>
    <col min="14846" max="14846" width="20.5546875" style="24" customWidth="1"/>
    <col min="14847" max="14847" width="68.44140625" style="24" customWidth="1"/>
    <col min="14848" max="14849" width="10.109375" style="24" bestFit="1" customWidth="1"/>
    <col min="14850" max="14850" width="10.109375" style="24" customWidth="1"/>
    <col min="14851" max="14851" width="28.5546875" style="24" customWidth="1"/>
    <col min="14852" max="14852" width="32" style="24" customWidth="1"/>
    <col min="14853" max="14853" width="15" style="24" customWidth="1"/>
    <col min="14854" max="15101" width="9.109375" style="24"/>
    <col min="15102" max="15102" width="20.5546875" style="24" customWidth="1"/>
    <col min="15103" max="15103" width="68.44140625" style="24" customWidth="1"/>
    <col min="15104" max="15105" width="10.109375" style="24" bestFit="1" customWidth="1"/>
    <col min="15106" max="15106" width="10.109375" style="24" customWidth="1"/>
    <col min="15107" max="15107" width="28.5546875" style="24" customWidth="1"/>
    <col min="15108" max="15108" width="32" style="24" customWidth="1"/>
    <col min="15109" max="15109" width="15" style="24" customWidth="1"/>
    <col min="15110" max="15357" width="9.109375" style="24"/>
    <col min="15358" max="15358" width="20.5546875" style="24" customWidth="1"/>
    <col min="15359" max="15359" width="68.44140625" style="24" customWidth="1"/>
    <col min="15360" max="15361" width="10.109375" style="24" bestFit="1" customWidth="1"/>
    <col min="15362" max="15362" width="10.109375" style="24" customWidth="1"/>
    <col min="15363" max="15363" width="28.5546875" style="24" customWidth="1"/>
    <col min="15364" max="15364" width="32" style="24" customWidth="1"/>
    <col min="15365" max="15365" width="15" style="24" customWidth="1"/>
    <col min="15366" max="15613" width="9.109375" style="24"/>
    <col min="15614" max="15614" width="20.5546875" style="24" customWidth="1"/>
    <col min="15615" max="15615" width="68.44140625" style="24" customWidth="1"/>
    <col min="15616" max="15617" width="10.109375" style="24" bestFit="1" customWidth="1"/>
    <col min="15618" max="15618" width="10.109375" style="24" customWidth="1"/>
    <col min="15619" max="15619" width="28.5546875" style="24" customWidth="1"/>
    <col min="15620" max="15620" width="32" style="24" customWidth="1"/>
    <col min="15621" max="15621" width="15" style="24" customWidth="1"/>
    <col min="15622" max="15869" width="9.109375" style="24"/>
    <col min="15870" max="15870" width="20.5546875" style="24" customWidth="1"/>
    <col min="15871" max="15871" width="68.44140625" style="24" customWidth="1"/>
    <col min="15872" max="15873" width="10.109375" style="24" bestFit="1" customWidth="1"/>
    <col min="15874" max="15874" width="10.109375" style="24" customWidth="1"/>
    <col min="15875" max="15875" width="28.5546875" style="24" customWidth="1"/>
    <col min="15876" max="15876" width="32" style="24" customWidth="1"/>
    <col min="15877" max="15877" width="15" style="24" customWidth="1"/>
    <col min="15878" max="16125" width="9.109375" style="24"/>
    <col min="16126" max="16126" width="20.5546875" style="24" customWidth="1"/>
    <col min="16127" max="16127" width="68.44140625" style="24" customWidth="1"/>
    <col min="16128" max="16129" width="10.109375" style="24" bestFit="1" customWidth="1"/>
    <col min="16130" max="16130" width="10.109375" style="24" customWidth="1"/>
    <col min="16131" max="16131" width="28.5546875" style="24" customWidth="1"/>
    <col min="16132" max="16132" width="32" style="24" customWidth="1"/>
    <col min="16133" max="16133" width="15" style="24" customWidth="1"/>
    <col min="16134" max="16384" width="9.109375" style="24"/>
  </cols>
  <sheetData>
    <row r="1" spans="1:6" ht="13.8">
      <c r="C1" s="27"/>
    </row>
    <row r="2" spans="1:6" ht="30" customHeight="1">
      <c r="A2" s="28"/>
      <c r="C2" s="27"/>
    </row>
    <row r="3" spans="1:6" ht="13.8">
      <c r="A3" s="29"/>
    </row>
    <row r="4" spans="1:6" ht="13.8">
      <c r="A4" s="29"/>
    </row>
    <row r="5" spans="1:6" ht="15" customHeight="1">
      <c r="A5" s="265" t="s">
        <v>447</v>
      </c>
      <c r="B5" s="266"/>
      <c r="C5" s="266"/>
    </row>
    <row r="6" spans="1:6" ht="14.4" thickBot="1">
      <c r="A6" s="30"/>
      <c r="D6" s="261"/>
      <c r="E6" s="262"/>
      <c r="F6" s="262"/>
    </row>
    <row r="7" spans="1:6" ht="51.75" customHeight="1" thickBot="1">
      <c r="A7" s="31" t="s">
        <v>379</v>
      </c>
      <c r="B7" s="267" t="s">
        <v>448</v>
      </c>
      <c r="C7" s="268"/>
      <c r="D7" s="261"/>
      <c r="E7" s="33"/>
      <c r="F7" s="34"/>
    </row>
    <row r="8" spans="1:6" ht="300.75" customHeight="1" thickBot="1">
      <c r="A8" s="249" t="s">
        <v>449</v>
      </c>
      <c r="B8" s="269">
        <f ca="1">ROUND(Input!B35,0)</f>
        <v>1243000</v>
      </c>
      <c r="C8" s="270"/>
    </row>
    <row r="9" spans="1:6" ht="15.75" customHeight="1">
      <c r="A9" s="248"/>
      <c r="B9" s="264"/>
      <c r="C9" s="264"/>
    </row>
    <row r="10" spans="1:6" ht="15.75" customHeight="1">
      <c r="A10" s="248"/>
      <c r="B10" s="264"/>
      <c r="C10" s="264"/>
    </row>
    <row r="11" spans="1:6" ht="15.75" customHeight="1">
      <c r="A11" s="248"/>
      <c r="B11" s="264"/>
      <c r="C11" s="264"/>
    </row>
    <row r="12" spans="1:6" ht="15.75" customHeight="1">
      <c r="A12" s="248"/>
      <c r="B12" s="264"/>
      <c r="C12" s="264"/>
    </row>
    <row r="13" spans="1:6" ht="15.75" customHeight="1">
      <c r="A13" s="248"/>
      <c r="B13" s="264"/>
      <c r="C13" s="264"/>
    </row>
    <row r="14" spans="1:6" ht="15.75" customHeight="1">
      <c r="A14" s="248"/>
      <c r="B14" s="264"/>
      <c r="C14" s="264"/>
    </row>
    <row r="15" spans="1:6" ht="15.75" customHeight="1">
      <c r="A15" s="248"/>
      <c r="B15" s="264"/>
      <c r="C15" s="264"/>
    </row>
    <row r="16" spans="1:6" ht="15.75" customHeight="1">
      <c r="A16" s="248"/>
      <c r="B16" s="264"/>
      <c r="C16" s="264"/>
    </row>
    <row r="17" spans="1:3" ht="15.75" customHeight="1">
      <c r="A17" s="248"/>
      <c r="B17" s="264"/>
      <c r="C17" s="264"/>
    </row>
    <row r="18" spans="1:3" ht="15.75" customHeight="1">
      <c r="A18" s="248"/>
      <c r="B18" s="264"/>
      <c r="C18" s="264"/>
    </row>
    <row r="19" spans="1:3" ht="15.75" customHeight="1">
      <c r="A19" s="248"/>
      <c r="B19" s="264"/>
      <c r="C19" s="264"/>
    </row>
    <row r="20" spans="1:3" ht="15.75" customHeight="1">
      <c r="A20" s="248"/>
      <c r="B20" s="264"/>
      <c r="C20" s="264"/>
    </row>
    <row r="21" spans="1:3" ht="15.75" customHeight="1">
      <c r="A21" s="248"/>
      <c r="B21" s="264"/>
      <c r="C21" s="264"/>
    </row>
    <row r="22" spans="1:3" ht="15.75" customHeight="1">
      <c r="A22" s="248"/>
      <c r="B22" s="264"/>
      <c r="C22" s="264"/>
    </row>
    <row r="23" spans="1:3" ht="15.75" customHeight="1">
      <c r="A23" s="248"/>
      <c r="B23" s="264"/>
      <c r="C23" s="264"/>
    </row>
    <row r="24" spans="1:3" ht="15.75" customHeight="1">
      <c r="A24" s="248"/>
      <c r="B24" s="264"/>
      <c r="C24" s="264"/>
    </row>
    <row r="25" spans="1:3" ht="15.75" customHeight="1">
      <c r="A25" s="248"/>
      <c r="B25" s="264"/>
      <c r="C25" s="264"/>
    </row>
    <row r="26" spans="1:3" ht="15.75" customHeight="1">
      <c r="A26" s="248"/>
      <c r="B26" s="264"/>
      <c r="C26" s="264"/>
    </row>
    <row r="27" spans="1:3" ht="15.75" customHeight="1">
      <c r="A27" s="248"/>
      <c r="B27" s="264"/>
      <c r="C27" s="264"/>
    </row>
    <row r="28" spans="1:3" ht="15.75" customHeight="1">
      <c r="A28" s="248"/>
      <c r="B28" s="264"/>
      <c r="C28" s="264"/>
    </row>
    <row r="29" spans="1:3" ht="15.75" customHeight="1">
      <c r="A29" s="248"/>
      <c r="B29" s="264"/>
      <c r="C29" s="264"/>
    </row>
    <row r="30" spans="1:3" ht="15.75" customHeight="1">
      <c r="A30" s="248"/>
      <c r="B30" s="264"/>
      <c r="C30" s="264"/>
    </row>
    <row r="31" spans="1:3" ht="15.75" customHeight="1">
      <c r="A31" s="248"/>
      <c r="B31" s="264"/>
      <c r="C31" s="264"/>
    </row>
    <row r="32" spans="1:3" ht="15.75" customHeight="1">
      <c r="A32" s="248"/>
      <c r="B32" s="264"/>
      <c r="C32" s="264"/>
    </row>
    <row r="33" spans="1:3" ht="15.75" customHeight="1">
      <c r="A33" s="248"/>
      <c r="B33" s="264"/>
      <c r="C33" s="264"/>
    </row>
    <row r="34" spans="1:3" ht="15.75" customHeight="1">
      <c r="A34" s="248"/>
      <c r="B34" s="264"/>
      <c r="C34" s="264"/>
    </row>
    <row r="35" spans="1:3" ht="15.75" customHeight="1">
      <c r="A35" s="248"/>
      <c r="B35" s="264"/>
      <c r="C35" s="264"/>
    </row>
    <row r="36" spans="1:3" ht="15.75" customHeight="1">
      <c r="A36" s="248"/>
      <c r="B36" s="264"/>
      <c r="C36" s="264"/>
    </row>
    <row r="37" spans="1:3" ht="15.75" customHeight="1">
      <c r="A37" s="248"/>
      <c r="B37" s="264"/>
      <c r="C37" s="264"/>
    </row>
    <row r="38" spans="1:3" ht="15.75" customHeight="1">
      <c r="A38" s="248"/>
      <c r="B38" s="264"/>
      <c r="C38" s="264"/>
    </row>
    <row r="39" spans="1:3" ht="15.75" customHeight="1">
      <c r="A39" s="248"/>
      <c r="B39" s="264"/>
      <c r="C39" s="264"/>
    </row>
    <row r="40" spans="1:3" ht="15.75" customHeight="1">
      <c r="A40" s="248"/>
      <c r="B40" s="264"/>
      <c r="C40" s="264"/>
    </row>
    <row r="41" spans="1:3" ht="15.75" customHeight="1">
      <c r="A41" s="248"/>
      <c r="B41" s="264"/>
      <c r="C41" s="264"/>
    </row>
    <row r="42" spans="1:3" ht="15.75" customHeight="1">
      <c r="A42" s="248"/>
      <c r="B42" s="264"/>
      <c r="C42" s="264"/>
    </row>
    <row r="43" spans="1:3" ht="15.75" customHeight="1">
      <c r="A43" s="248"/>
      <c r="B43" s="264"/>
      <c r="C43" s="264"/>
    </row>
    <row r="44" spans="1:3" ht="15.75" customHeight="1">
      <c r="A44" s="248"/>
      <c r="B44" s="264"/>
      <c r="C44" s="264"/>
    </row>
    <row r="45" spans="1:3" ht="15.75" customHeight="1">
      <c r="A45" s="248"/>
      <c r="B45" s="264"/>
      <c r="C45" s="264"/>
    </row>
    <row r="46" spans="1:3" ht="15.75" customHeight="1">
      <c r="A46" s="248"/>
      <c r="B46" s="264"/>
      <c r="C46" s="264"/>
    </row>
    <row r="47" spans="1:3" ht="15.75" customHeight="1">
      <c r="A47" s="248"/>
      <c r="B47" s="264"/>
      <c r="C47" s="264"/>
    </row>
    <row r="48" spans="1:3" ht="15.75" customHeight="1">
      <c r="A48" s="248"/>
      <c r="B48" s="264"/>
      <c r="C48" s="264"/>
    </row>
    <row r="49" spans="1:3" ht="15.75" customHeight="1">
      <c r="A49" s="248"/>
      <c r="B49" s="264"/>
      <c r="C49" s="264"/>
    </row>
    <row r="50" spans="1:3" ht="15.75" customHeight="1">
      <c r="A50" s="248"/>
      <c r="B50" s="264"/>
      <c r="C50" s="264"/>
    </row>
    <row r="51" spans="1:3" ht="15.75" customHeight="1">
      <c r="A51" s="248"/>
      <c r="B51" s="264"/>
      <c r="C51" s="264"/>
    </row>
    <row r="52" spans="1:3" ht="15.75" customHeight="1">
      <c r="A52" s="248"/>
      <c r="B52" s="264"/>
      <c r="C52" s="264"/>
    </row>
    <row r="53" spans="1:3" ht="15.75" customHeight="1">
      <c r="A53" s="248"/>
      <c r="B53" s="264"/>
      <c r="C53" s="264"/>
    </row>
    <row r="54" spans="1:3" ht="15.75" customHeight="1">
      <c r="A54" s="248"/>
      <c r="B54" s="264"/>
      <c r="C54" s="264"/>
    </row>
    <row r="55" spans="1:3" ht="15.75" customHeight="1">
      <c r="A55" s="248"/>
      <c r="B55" s="264"/>
      <c r="C55" s="264"/>
    </row>
    <row r="56" spans="1:3" ht="15.75" customHeight="1">
      <c r="A56" s="248"/>
      <c r="B56" s="264"/>
      <c r="C56" s="264"/>
    </row>
    <row r="57" spans="1:3" ht="15.75" customHeight="1">
      <c r="A57" s="248"/>
      <c r="B57" s="264"/>
      <c r="C57" s="264"/>
    </row>
    <row r="58" spans="1:3" ht="15.75" customHeight="1">
      <c r="A58" s="248"/>
      <c r="B58" s="264"/>
      <c r="C58" s="264"/>
    </row>
    <row r="59" spans="1:3" ht="15.75" customHeight="1">
      <c r="A59" s="248"/>
      <c r="B59" s="264"/>
      <c r="C59" s="264"/>
    </row>
    <row r="60" spans="1:3" ht="15.75" customHeight="1">
      <c r="A60" s="248"/>
      <c r="B60" s="264"/>
      <c r="C60" s="264"/>
    </row>
    <row r="61" spans="1:3" ht="15.75" customHeight="1">
      <c r="A61" s="248"/>
      <c r="B61" s="264"/>
      <c r="C61" s="264"/>
    </row>
    <row r="62" spans="1:3" ht="15.75" customHeight="1">
      <c r="A62" s="248"/>
      <c r="B62" s="264"/>
      <c r="C62" s="264"/>
    </row>
    <row r="63" spans="1:3" ht="15.75" customHeight="1">
      <c r="A63" s="248"/>
      <c r="B63" s="264"/>
      <c r="C63" s="264"/>
    </row>
    <row r="64" spans="1:3" ht="15.75" customHeight="1">
      <c r="A64" s="248"/>
      <c r="B64" s="264"/>
      <c r="C64" s="264"/>
    </row>
    <row r="65" spans="1:4" ht="15.75" customHeight="1">
      <c r="A65" s="248"/>
      <c r="B65" s="264"/>
      <c r="C65" s="264"/>
    </row>
    <row r="66" spans="1:4" ht="15.75" customHeight="1">
      <c r="A66" s="248"/>
      <c r="B66" s="264"/>
      <c r="C66" s="264"/>
    </row>
    <row r="67" spans="1:4" ht="15.75" customHeight="1">
      <c r="A67" s="248"/>
      <c r="B67" s="264"/>
      <c r="C67" s="264"/>
    </row>
    <row r="68" spans="1:4" ht="15.75" customHeight="1">
      <c r="A68" s="248"/>
      <c r="B68" s="264"/>
      <c r="C68" s="264"/>
      <c r="D68" s="36"/>
    </row>
    <row r="69" spans="1:4" ht="15.75" customHeight="1">
      <c r="A69" s="248"/>
      <c r="B69" s="264"/>
      <c r="C69" s="264"/>
    </row>
    <row r="70" spans="1:4" ht="15.75" customHeight="1">
      <c r="A70" s="248"/>
      <c r="B70" s="264"/>
      <c r="C70" s="264"/>
    </row>
    <row r="71" spans="1:4" ht="15.75" customHeight="1">
      <c r="A71" s="248"/>
      <c r="B71" s="264"/>
      <c r="C71" s="264"/>
    </row>
    <row r="72" spans="1:4" ht="15.75" customHeight="1">
      <c r="A72" s="248"/>
      <c r="B72" s="264"/>
      <c r="C72" s="264"/>
    </row>
    <row r="73" spans="1:4" ht="15.75" customHeight="1">
      <c r="A73" s="248"/>
      <c r="B73" s="264"/>
      <c r="C73" s="264"/>
    </row>
    <row r="74" spans="1:4" ht="15.75" customHeight="1">
      <c r="A74" s="248"/>
      <c r="B74" s="264"/>
      <c r="C74" s="264"/>
    </row>
    <row r="75" spans="1:4" ht="15.75" customHeight="1">
      <c r="A75" s="248"/>
      <c r="B75" s="264"/>
      <c r="C75" s="264"/>
    </row>
    <row r="76" spans="1:4" ht="15.75" customHeight="1">
      <c r="A76" s="248"/>
      <c r="B76" s="264"/>
      <c r="C76" s="264"/>
    </row>
    <row r="77" spans="1:4" ht="15.75" customHeight="1">
      <c r="A77" s="248"/>
      <c r="B77" s="264"/>
      <c r="C77" s="264"/>
    </row>
    <row r="78" spans="1:4" ht="15.75" customHeight="1">
      <c r="A78" s="248"/>
      <c r="B78" s="264"/>
      <c r="C78" s="264"/>
    </row>
    <row r="79" spans="1:4" ht="15.75" customHeight="1">
      <c r="A79" s="248"/>
      <c r="B79" s="264"/>
      <c r="C79" s="264"/>
    </row>
    <row r="80" spans="1:4" ht="15.75" customHeight="1">
      <c r="A80" s="248"/>
      <c r="B80" s="264"/>
      <c r="C80" s="264"/>
    </row>
    <row r="81" spans="1:3" ht="15.75" customHeight="1">
      <c r="A81" s="248"/>
      <c r="B81" s="264"/>
      <c r="C81" s="264"/>
    </row>
    <row r="82" spans="1:3" ht="15.75" customHeight="1">
      <c r="A82" s="248"/>
      <c r="B82" s="264"/>
      <c r="C82" s="264"/>
    </row>
    <row r="83" spans="1:3" ht="15.75" customHeight="1">
      <c r="A83" s="248"/>
      <c r="B83" s="264"/>
      <c r="C83" s="264"/>
    </row>
    <row r="84" spans="1:3" ht="15.75" customHeight="1">
      <c r="A84" s="248"/>
      <c r="B84" s="264"/>
      <c r="C84" s="264"/>
    </row>
  </sheetData>
  <sheetProtection algorithmName="SHA-512" hashValue="4fCK0iAox/hJpZMKWE4PAUXaltadp9+H4TF6ZKzbGaj0xi+Usub5k+3RuGuSjc35wkUJJ+qZJ3grGqBcFIRk4w==" saltValue="S2GekirV84BjDNdoYq7r6g==" spinCount="100000" sheet="1" objects="1" scenarios="1"/>
  <mergeCells count="81">
    <mergeCell ref="B15:C15"/>
    <mergeCell ref="A5:C5"/>
    <mergeCell ref="D6:D7"/>
    <mergeCell ref="E6:F6"/>
    <mergeCell ref="B7:C7"/>
    <mergeCell ref="B8:C8"/>
    <mergeCell ref="B9:C9"/>
    <mergeCell ref="B10:C10"/>
    <mergeCell ref="B11:C11"/>
    <mergeCell ref="B12:C12"/>
    <mergeCell ref="B13:C13"/>
    <mergeCell ref="B14:C14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9:C39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51:C51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63:C63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75:C75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82:C82"/>
    <mergeCell ref="B83:C83"/>
    <mergeCell ref="B84:C84"/>
    <mergeCell ref="B76:C76"/>
    <mergeCell ref="B77:C77"/>
    <mergeCell ref="B78:C78"/>
    <mergeCell ref="B79:C79"/>
    <mergeCell ref="B80:C80"/>
    <mergeCell ref="B81:C81"/>
  </mergeCells>
  <pageMargins left="0.70866141732283472" right="0.51181102362204722" top="0.74803149606299213" bottom="0.74803149606299213" header="0.31496062992125984" footer="0.31496062992125984"/>
  <pageSetup paperSize="9" scale="56" firstPageNumber="4" orientation="portrait" useFirstPageNumber="1" horizontalDpi="300" r:id="rId1"/>
  <headerFooter>
    <oddFooter xml:space="preserve">&amp;R
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Y132"/>
  <sheetViews>
    <sheetView zoomScale="110" zoomScaleNormal="110" workbookViewId="0">
      <selection activeCell="C5" sqref="C5"/>
    </sheetView>
  </sheetViews>
  <sheetFormatPr defaultRowHeight="14.4"/>
  <cols>
    <col min="1" max="1" width="33.5546875" customWidth="1"/>
    <col min="2" max="2" width="2.109375" customWidth="1"/>
    <col min="3" max="3" width="36.6640625" customWidth="1"/>
    <col min="4" max="4" width="2.5546875" customWidth="1"/>
    <col min="5" max="5" width="31.5546875" customWidth="1"/>
    <col min="6" max="6" width="4.109375" customWidth="1"/>
    <col min="7" max="7" width="22.44140625" customWidth="1"/>
    <col min="9" max="9" width="4.6640625" customWidth="1"/>
    <col min="10" max="10" width="23" customWidth="1"/>
    <col min="11" max="11" width="1.6640625" customWidth="1"/>
    <col min="12" max="12" width="22.6640625" customWidth="1"/>
    <col min="13" max="13" width="1.6640625" customWidth="1"/>
    <col min="14" max="14" width="17.88671875" customWidth="1"/>
    <col min="15" max="15" width="3" customWidth="1"/>
    <col min="16" max="16" width="18" customWidth="1"/>
    <col min="17" max="17" width="5" customWidth="1"/>
    <col min="18" max="18" width="11" customWidth="1"/>
    <col min="19" max="19" width="14.88671875" bestFit="1" customWidth="1"/>
    <col min="20" max="20" width="15.109375" customWidth="1"/>
    <col min="21" max="21" width="13.5546875" customWidth="1"/>
    <col min="25" max="25" width="12.6640625" customWidth="1"/>
  </cols>
  <sheetData>
    <row r="1" spans="1:25">
      <c r="A1" s="109"/>
      <c r="B1" s="110"/>
      <c r="C1" s="110"/>
      <c r="D1" s="110"/>
      <c r="E1" s="110"/>
      <c r="F1" s="110"/>
      <c r="G1" s="110"/>
      <c r="H1" s="110"/>
      <c r="I1" s="109"/>
      <c r="J1" s="110"/>
      <c r="K1" s="110"/>
      <c r="L1" s="110"/>
      <c r="M1" s="110"/>
      <c r="N1" s="110"/>
      <c r="O1" s="110"/>
      <c r="P1" s="110"/>
      <c r="Q1" s="111"/>
    </row>
    <row r="2" spans="1:25" ht="15">
      <c r="A2" s="112" t="s">
        <v>0</v>
      </c>
      <c r="B2" s="113"/>
      <c r="C2" s="114" t="s">
        <v>324</v>
      </c>
      <c r="D2" s="113"/>
      <c r="E2" s="113"/>
      <c r="F2" s="113"/>
      <c r="G2" s="113"/>
      <c r="H2" s="113"/>
      <c r="I2" s="116"/>
      <c r="J2" s="113" t="s">
        <v>383</v>
      </c>
      <c r="K2" s="113"/>
      <c r="L2" s="154"/>
      <c r="M2" s="113"/>
      <c r="N2" s="113"/>
      <c r="O2" s="150"/>
      <c r="P2" s="150"/>
      <c r="Q2" s="115"/>
      <c r="R2" s="10"/>
      <c r="S2" s="23"/>
      <c r="T2" s="23"/>
      <c r="U2" s="23"/>
      <c r="V2" s="140"/>
      <c r="Y2" s="10"/>
    </row>
    <row r="3" spans="1:25">
      <c r="A3" s="116"/>
      <c r="B3" s="113"/>
      <c r="C3" s="146"/>
      <c r="D3" s="113"/>
      <c r="E3" s="113"/>
      <c r="F3" s="113"/>
      <c r="G3" s="113"/>
      <c r="H3" s="113"/>
      <c r="I3" s="116"/>
      <c r="J3" s="113"/>
      <c r="K3" s="113"/>
      <c r="L3" s="113"/>
      <c r="M3" s="113"/>
      <c r="N3" s="113"/>
      <c r="O3" s="113"/>
      <c r="P3" s="113"/>
      <c r="Q3" s="115"/>
      <c r="U3" s="10"/>
    </row>
    <row r="4" spans="1:25">
      <c r="A4" s="117" t="s">
        <v>2</v>
      </c>
      <c r="B4" s="114"/>
      <c r="C4" s="114" t="s">
        <v>3</v>
      </c>
      <c r="D4" s="113"/>
      <c r="E4" s="114" t="s">
        <v>4</v>
      </c>
      <c r="F4" s="114"/>
      <c r="G4" s="114" t="s">
        <v>13</v>
      </c>
      <c r="H4" s="113"/>
      <c r="I4" s="116"/>
      <c r="J4" s="113"/>
      <c r="K4" s="113"/>
      <c r="L4" s="113"/>
      <c r="M4" s="113"/>
      <c r="N4" s="113"/>
      <c r="O4" s="113"/>
      <c r="P4" s="113"/>
      <c r="Q4" s="115"/>
    </row>
    <row r="5" spans="1:25">
      <c r="A5" s="135"/>
      <c r="B5" s="114"/>
      <c r="C5" s="135"/>
      <c r="D5" s="113"/>
      <c r="E5" s="135" t="s">
        <v>423</v>
      </c>
      <c r="F5" s="114"/>
      <c r="G5" s="143"/>
      <c r="H5" s="113"/>
      <c r="I5" s="116"/>
      <c r="J5" s="114" t="s">
        <v>330</v>
      </c>
      <c r="K5" s="113"/>
      <c r="L5" s="121" t="s">
        <v>324</v>
      </c>
      <c r="M5" s="113"/>
      <c r="N5" s="113" t="s">
        <v>331</v>
      </c>
      <c r="O5" s="113"/>
      <c r="P5" s="113" t="s">
        <v>332</v>
      </c>
      <c r="Q5" s="115"/>
    </row>
    <row r="6" spans="1:25" ht="8.25" customHeight="1">
      <c r="A6" s="117"/>
      <c r="B6" s="114"/>
      <c r="C6" s="114"/>
      <c r="D6" s="113"/>
      <c r="E6" s="114"/>
      <c r="F6" s="114"/>
      <c r="G6" s="114"/>
      <c r="H6" s="113"/>
      <c r="I6" s="116"/>
      <c r="J6" s="113"/>
      <c r="K6" s="113"/>
      <c r="L6" s="113"/>
      <c r="M6" s="113"/>
      <c r="N6" s="113"/>
      <c r="O6" s="113"/>
      <c r="P6" s="113"/>
      <c r="Q6" s="115"/>
    </row>
    <row r="7" spans="1:25">
      <c r="A7" s="117" t="s">
        <v>11</v>
      </c>
      <c r="B7" s="114"/>
      <c r="C7" s="114" t="s">
        <v>326</v>
      </c>
      <c r="D7" s="113"/>
      <c r="E7" s="114" t="s">
        <v>327</v>
      </c>
      <c r="F7" s="114"/>
      <c r="G7" s="114" t="s">
        <v>12</v>
      </c>
      <c r="H7" s="113"/>
      <c r="I7" s="116">
        <v>1</v>
      </c>
      <c r="J7" s="149"/>
      <c r="K7" s="113" t="s">
        <v>287</v>
      </c>
      <c r="L7" s="153"/>
      <c r="M7" s="113" t="s">
        <v>287</v>
      </c>
      <c r="N7" s="134"/>
      <c r="O7" s="113" t="s">
        <v>287</v>
      </c>
      <c r="P7" s="151"/>
      <c r="Q7" s="115"/>
    </row>
    <row r="8" spans="1:25">
      <c r="A8" s="135"/>
      <c r="B8" s="114"/>
      <c r="C8" s="143"/>
      <c r="D8" s="113"/>
      <c r="E8" s="134"/>
      <c r="F8" s="114"/>
      <c r="G8" s="153"/>
      <c r="H8" s="113"/>
      <c r="I8" s="116">
        <v>2</v>
      </c>
      <c r="J8" s="149"/>
      <c r="K8" s="113" t="s">
        <v>287</v>
      </c>
      <c r="L8" s="153"/>
      <c r="M8" s="113" t="s">
        <v>287</v>
      </c>
      <c r="N8" s="134"/>
      <c r="O8" s="113" t="s">
        <v>287</v>
      </c>
      <c r="P8" s="151"/>
      <c r="Q8" s="115"/>
    </row>
    <row r="9" spans="1:25" ht="15" customHeight="1">
      <c r="A9" s="116"/>
      <c r="B9" s="113"/>
      <c r="C9" s="113"/>
      <c r="D9" s="113"/>
      <c r="E9" s="113"/>
      <c r="F9" s="120"/>
      <c r="G9" s="120"/>
      <c r="H9" s="113"/>
      <c r="I9" s="116">
        <v>3</v>
      </c>
      <c r="J9" s="149"/>
      <c r="K9" s="113" t="s">
        <v>287</v>
      </c>
      <c r="L9" s="153"/>
      <c r="M9" s="113" t="s">
        <v>287</v>
      </c>
      <c r="N9" s="134"/>
      <c r="O9" s="113" t="s">
        <v>287</v>
      </c>
      <c r="P9" s="151"/>
      <c r="Q9" s="115"/>
    </row>
    <row r="10" spans="1:25">
      <c r="A10" s="118" t="s">
        <v>10</v>
      </c>
      <c r="B10" s="119"/>
      <c r="C10" s="120" t="s">
        <v>14</v>
      </c>
      <c r="D10" s="120"/>
      <c r="E10" s="113"/>
      <c r="F10" s="113"/>
      <c r="G10" s="113" t="s">
        <v>18</v>
      </c>
      <c r="H10" s="113"/>
      <c r="I10" s="116">
        <v>4</v>
      </c>
      <c r="J10" s="149"/>
      <c r="K10" s="113" t="s">
        <v>287</v>
      </c>
      <c r="L10" s="153"/>
      <c r="M10" s="113" t="s">
        <v>287</v>
      </c>
      <c r="N10" s="134"/>
      <c r="O10" s="113" t="s">
        <v>287</v>
      </c>
      <c r="P10" s="151"/>
      <c r="Q10" s="115"/>
    </row>
    <row r="11" spans="1:25" ht="15" customHeight="1">
      <c r="A11" s="271"/>
      <c r="B11" s="121"/>
      <c r="C11" s="120" t="s">
        <v>15</v>
      </c>
      <c r="D11" s="120"/>
      <c r="E11" s="144"/>
      <c r="F11" s="113"/>
      <c r="G11" s="142"/>
      <c r="H11" s="113"/>
      <c r="I11" s="116">
        <v>5</v>
      </c>
      <c r="J11" s="149"/>
      <c r="K11" s="113" t="s">
        <v>287</v>
      </c>
      <c r="L11" s="153"/>
      <c r="M11" s="113" t="s">
        <v>287</v>
      </c>
      <c r="N11" s="134"/>
      <c r="O11" s="113" t="s">
        <v>287</v>
      </c>
      <c r="P11" s="151"/>
      <c r="Q11" s="115"/>
    </row>
    <row r="12" spans="1:25">
      <c r="A12" s="272"/>
      <c r="B12" s="121"/>
      <c r="C12" s="120" t="s">
        <v>16</v>
      </c>
      <c r="D12" s="120"/>
      <c r="E12" s="144"/>
      <c r="F12" s="113"/>
      <c r="G12" s="142"/>
      <c r="H12" s="113"/>
      <c r="I12" s="116"/>
      <c r="J12" s="113"/>
      <c r="K12" s="113"/>
      <c r="L12" s="113"/>
      <c r="M12" s="113"/>
      <c r="N12" s="113"/>
      <c r="O12" s="120" t="s">
        <v>333</v>
      </c>
      <c r="P12" s="152">
        <f>SUM(P7:P11)</f>
        <v>0</v>
      </c>
      <c r="Q12" s="115"/>
    </row>
    <row r="13" spans="1:25">
      <c r="A13" s="273"/>
      <c r="B13" s="121"/>
      <c r="C13" s="120" t="s">
        <v>17</v>
      </c>
      <c r="D13" s="120"/>
      <c r="E13" s="144"/>
      <c r="F13" s="113"/>
      <c r="G13" s="113"/>
      <c r="H13" s="113"/>
      <c r="I13" s="116"/>
      <c r="J13" s="113"/>
      <c r="K13" s="113"/>
      <c r="L13" s="113"/>
      <c r="M13" s="113"/>
      <c r="N13" s="113"/>
      <c r="O13" s="113"/>
      <c r="P13" s="113"/>
      <c r="Q13" s="115"/>
    </row>
    <row r="14" spans="1:25">
      <c r="A14" s="116"/>
      <c r="B14" s="113"/>
      <c r="C14" s="113"/>
      <c r="D14" s="113"/>
      <c r="E14" s="113"/>
      <c r="F14" s="113"/>
      <c r="G14" s="113"/>
      <c r="H14" s="113"/>
      <c r="I14" s="128"/>
      <c r="J14" s="129"/>
      <c r="K14" s="129"/>
      <c r="L14" s="129"/>
      <c r="M14" s="129"/>
      <c r="N14" s="129"/>
      <c r="O14" s="129"/>
      <c r="P14" s="129"/>
      <c r="Q14" s="130"/>
    </row>
    <row r="15" spans="1:25">
      <c r="A15" s="116" t="s">
        <v>19</v>
      </c>
      <c r="B15" s="113"/>
      <c r="C15" s="113"/>
      <c r="D15" s="113"/>
      <c r="E15" s="114" t="s">
        <v>26</v>
      </c>
      <c r="F15" s="113"/>
      <c r="G15" s="114" t="s">
        <v>27</v>
      </c>
      <c r="H15" s="115"/>
    </row>
    <row r="16" spans="1:25">
      <c r="A16" s="145"/>
      <c r="B16" s="113"/>
      <c r="C16" s="135"/>
      <c r="D16" s="113"/>
      <c r="E16" s="145"/>
      <c r="F16" s="113"/>
      <c r="G16" s="164"/>
      <c r="H16" s="115"/>
    </row>
    <row r="17" spans="1:11">
      <c r="A17" s="116"/>
      <c r="B17" s="113"/>
      <c r="C17" s="113"/>
      <c r="D17" s="113"/>
      <c r="E17" s="113"/>
      <c r="F17" s="113"/>
      <c r="G17" s="113"/>
      <c r="H17" s="115"/>
    </row>
    <row r="18" spans="1:11">
      <c r="A18" s="122" t="s">
        <v>21</v>
      </c>
      <c r="B18" s="113"/>
      <c r="C18" s="142" t="s">
        <v>174</v>
      </c>
      <c r="D18" s="113"/>
      <c r="E18" s="114" t="s">
        <v>315</v>
      </c>
      <c r="F18" s="113"/>
      <c r="G18" s="113"/>
      <c r="H18" s="115"/>
    </row>
    <row r="19" spans="1:11">
      <c r="A19" s="122" t="s">
        <v>288</v>
      </c>
      <c r="B19" s="113"/>
      <c r="C19" s="142"/>
      <c r="D19" s="113"/>
      <c r="E19" s="135"/>
      <c r="F19" s="113"/>
      <c r="G19" s="113"/>
      <c r="H19" s="115"/>
    </row>
    <row r="20" spans="1:11">
      <c r="A20" s="122" t="s">
        <v>22</v>
      </c>
      <c r="B20" s="113"/>
      <c r="C20" s="123" t="str">
        <f>VLOOKUP(C18,A75:B131,2,0)</f>
        <v>HSBKKZKX</v>
      </c>
      <c r="D20" s="113"/>
      <c r="E20" s="113"/>
      <c r="F20" s="113"/>
      <c r="G20" s="113"/>
      <c r="H20" s="115"/>
    </row>
    <row r="21" spans="1:11">
      <c r="A21" s="122" t="s">
        <v>23</v>
      </c>
      <c r="B21" s="113"/>
      <c r="C21" s="142"/>
      <c r="D21" s="113"/>
      <c r="E21" s="114" t="s">
        <v>8</v>
      </c>
      <c r="F21" s="113"/>
      <c r="G21" s="113"/>
      <c r="H21" s="115"/>
    </row>
    <row r="22" spans="1:11">
      <c r="A22" s="122" t="s">
        <v>24</v>
      </c>
      <c r="B22" s="113"/>
      <c r="C22" s="142"/>
      <c r="D22" s="113"/>
      <c r="E22" s="135">
        <v>1</v>
      </c>
      <c r="F22" s="113"/>
      <c r="G22" s="113"/>
      <c r="H22" s="115"/>
    </row>
    <row r="23" spans="1:11">
      <c r="A23" s="122" t="s">
        <v>25</v>
      </c>
      <c r="B23" s="113"/>
      <c r="C23" s="142"/>
      <c r="D23" s="113"/>
      <c r="E23" s="113"/>
      <c r="F23" s="113"/>
      <c r="G23" s="113"/>
      <c r="H23" s="115"/>
    </row>
    <row r="24" spans="1:11">
      <c r="A24" s="116"/>
      <c r="B24" s="113"/>
      <c r="C24" s="113"/>
      <c r="D24" s="113"/>
      <c r="E24" s="113"/>
      <c r="F24" s="113"/>
      <c r="G24" s="113"/>
      <c r="H24" s="115"/>
    </row>
    <row r="25" spans="1:11" ht="45.75" customHeight="1">
      <c r="A25" s="124" t="s">
        <v>28</v>
      </c>
      <c r="B25" s="125"/>
      <c r="C25" s="125" t="s">
        <v>29</v>
      </c>
      <c r="D25" s="125"/>
      <c r="E25" s="126" t="s">
        <v>30</v>
      </c>
      <c r="F25" s="125"/>
      <c r="G25" s="125" t="s">
        <v>325</v>
      </c>
      <c r="H25" s="115"/>
    </row>
    <row r="26" spans="1:11" ht="60" customHeight="1">
      <c r="A26" s="147"/>
      <c r="B26" s="127"/>
      <c r="C26" s="147"/>
      <c r="D26" s="127"/>
      <c r="E26" s="147"/>
      <c r="F26" s="127"/>
      <c r="G26" s="148"/>
      <c r="H26" s="115"/>
    </row>
    <row r="27" spans="1:11">
      <c r="A27" s="128"/>
      <c r="B27" s="129"/>
      <c r="C27" s="129"/>
      <c r="D27" s="129"/>
      <c r="E27" s="129"/>
      <c r="F27" s="129"/>
      <c r="G27" s="129"/>
      <c r="H27" s="130"/>
    </row>
    <row r="28" spans="1:11" hidden="1"/>
    <row r="29" spans="1:11" hidden="1">
      <c r="A29" s="274" t="s">
        <v>8</v>
      </c>
      <c r="B29" s="274"/>
      <c r="C29" s="2"/>
      <c r="E29" t="str">
        <f>INDEX(E30:E33,freq)</f>
        <v>раз в месяц</v>
      </c>
      <c r="G29" t="str">
        <f>INDEX(G30:G33,freq)</f>
        <v>айына</v>
      </c>
      <c r="H29" t="str">
        <f>INDEX(H30:H33,freq)</f>
        <v>ежемесячной</v>
      </c>
      <c r="I29" t="str">
        <f>INDEX(I30:I33,freq)</f>
        <v>ай сайынғы</v>
      </c>
      <c r="J29" t="str">
        <f>INDEX(J30:J33,freq)</f>
        <v>ежемесячно</v>
      </c>
      <c r="K29" t="str">
        <f>INDEX(K30:K33,freq)</f>
        <v>ай сайын</v>
      </c>
    </row>
    <row r="30" spans="1:11" hidden="1">
      <c r="A30" s="3"/>
      <c r="B30" s="3">
        <f>Input_CV!E22</f>
        <v>1</v>
      </c>
      <c r="C30" s="2"/>
      <c r="E30" t="s">
        <v>263</v>
      </c>
      <c r="G30" t="s">
        <v>271</v>
      </c>
      <c r="H30" t="s">
        <v>272</v>
      </c>
      <c r="I30" t="s">
        <v>273</v>
      </c>
      <c r="J30" t="s">
        <v>38</v>
      </c>
      <c r="K30" t="s">
        <v>296</v>
      </c>
    </row>
    <row r="31" spans="1:11" hidden="1">
      <c r="A31" s="3"/>
      <c r="B31" s="3">
        <v>1</v>
      </c>
      <c r="C31" s="2"/>
      <c r="E31" t="s">
        <v>39</v>
      </c>
      <c r="G31" t="s">
        <v>274</v>
      </c>
      <c r="H31" t="s">
        <v>275</v>
      </c>
      <c r="I31" t="s">
        <v>276</v>
      </c>
      <c r="J31" t="s">
        <v>39</v>
      </c>
      <c r="K31" t="s">
        <v>297</v>
      </c>
    </row>
    <row r="32" spans="1:11" hidden="1">
      <c r="A32" s="3"/>
      <c r="B32" s="3">
        <v>2</v>
      </c>
      <c r="E32" t="s">
        <v>264</v>
      </c>
      <c r="G32" t="s">
        <v>277</v>
      </c>
      <c r="H32" t="s">
        <v>278</v>
      </c>
      <c r="I32" t="s">
        <v>279</v>
      </c>
      <c r="J32" t="s">
        <v>40</v>
      </c>
      <c r="K32" t="s">
        <v>298</v>
      </c>
    </row>
    <row r="33" spans="1:11" hidden="1">
      <c r="A33" s="3"/>
      <c r="B33" s="3">
        <v>3</v>
      </c>
      <c r="C33" t="e">
        <f>MATCH(A8,$C$34:$C$37,0)</f>
        <v>#N/A</v>
      </c>
      <c r="E33" t="s">
        <v>265</v>
      </c>
      <c r="G33" t="s">
        <v>280</v>
      </c>
      <c r="H33" t="s">
        <v>281</v>
      </c>
      <c r="I33" t="s">
        <v>282</v>
      </c>
      <c r="J33" t="s">
        <v>41</v>
      </c>
      <c r="K33" t="s">
        <v>299</v>
      </c>
    </row>
    <row r="34" spans="1:11" hidden="1">
      <c r="A34" s="3"/>
      <c r="B34" s="3">
        <v>4</v>
      </c>
      <c r="C34" s="2" t="s">
        <v>360</v>
      </c>
    </row>
    <row r="35" spans="1:11" hidden="1">
      <c r="A35" s="3"/>
      <c r="B35" s="3">
        <v>5</v>
      </c>
      <c r="C35" s="2" t="s">
        <v>266</v>
      </c>
    </row>
    <row r="36" spans="1:11" hidden="1">
      <c r="A36" s="3"/>
      <c r="B36" s="3">
        <v>6</v>
      </c>
      <c r="C36" s="2" t="s">
        <v>267</v>
      </c>
      <c r="H36" t="s">
        <v>364</v>
      </c>
      <c r="I36" t="s">
        <v>371</v>
      </c>
      <c r="J36">
        <f>IF(G8="Қазақстан Республикасы ІІМ",H42,IFERROR(INDEX(I36:I42,MATCH(G8,H36:H42,0),0),G8))</f>
        <v>0</v>
      </c>
    </row>
    <row r="37" spans="1:11" hidden="1">
      <c r="C37" s="2" t="s">
        <v>268</v>
      </c>
      <c r="H37" t="s">
        <v>365</v>
      </c>
      <c r="I37" t="s">
        <v>372</v>
      </c>
    </row>
    <row r="38" spans="1:11" hidden="1">
      <c r="H38" t="s">
        <v>361</v>
      </c>
      <c r="I38" t="s">
        <v>373</v>
      </c>
    </row>
    <row r="39" spans="1:11" hidden="1">
      <c r="A39" t="s">
        <v>76</v>
      </c>
      <c r="B39" t="s">
        <v>287</v>
      </c>
      <c r="C39" t="e">
        <f>MATCH(C22,C40:C41,0)</f>
        <v>#N/A</v>
      </c>
      <c r="H39" t="s">
        <v>366</v>
      </c>
      <c r="I39" t="s">
        <v>374</v>
      </c>
    </row>
    <row r="40" spans="1:11" hidden="1">
      <c r="A40" t="s">
        <v>77</v>
      </c>
      <c r="B40" t="s">
        <v>287</v>
      </c>
      <c r="C40" t="s">
        <v>283</v>
      </c>
      <c r="H40" t="s">
        <v>367</v>
      </c>
      <c r="I40" t="s">
        <v>375</v>
      </c>
    </row>
    <row r="41" spans="1:11" hidden="1">
      <c r="A41" t="s">
        <v>20</v>
      </c>
      <c r="B41" t="s">
        <v>287</v>
      </c>
      <c r="C41" t="s">
        <v>284</v>
      </c>
      <c r="H41" t="s">
        <v>368</v>
      </c>
      <c r="I41" t="s">
        <v>376</v>
      </c>
    </row>
    <row r="42" spans="1:11" hidden="1">
      <c r="A42" t="s">
        <v>78</v>
      </c>
      <c r="B42" t="s">
        <v>287</v>
      </c>
      <c r="H42" t="s">
        <v>369</v>
      </c>
      <c r="I42" t="s">
        <v>361</v>
      </c>
    </row>
    <row r="43" spans="1:11" hidden="1">
      <c r="A43" t="s">
        <v>79</v>
      </c>
      <c r="B43" t="s">
        <v>287</v>
      </c>
      <c r="C43" s="2" t="str">
        <f>INDEX(C44:C45,pol)</f>
        <v>мужской</v>
      </c>
      <c r="E43" s="26" t="str">
        <f>INDEX(E44:E45,pol)</f>
        <v>ер адам</v>
      </c>
      <c r="F43" s="18" t="str">
        <f>INDEX(pol_list,pol)</f>
        <v>мужчина</v>
      </c>
      <c r="H43" t="s">
        <v>370</v>
      </c>
    </row>
    <row r="44" spans="1:11" hidden="1">
      <c r="A44" t="s">
        <v>80</v>
      </c>
      <c r="B44" t="s">
        <v>287</v>
      </c>
      <c r="C44" t="s">
        <v>285</v>
      </c>
      <c r="E44" t="s">
        <v>290</v>
      </c>
    </row>
    <row r="45" spans="1:11" hidden="1">
      <c r="A45" t="s">
        <v>81</v>
      </c>
      <c r="B45" t="s">
        <v>287</v>
      </c>
      <c r="C45" t="s">
        <v>286</v>
      </c>
      <c r="E45" t="s">
        <v>291</v>
      </c>
    </row>
    <row r="46" spans="1:11" hidden="1">
      <c r="A46" t="s">
        <v>82</v>
      </c>
      <c r="B46" t="s">
        <v>287</v>
      </c>
    </row>
    <row r="47" spans="1:11" hidden="1">
      <c r="A47" t="s">
        <v>83</v>
      </c>
      <c r="B47" t="s">
        <v>287</v>
      </c>
      <c r="C47" t="s">
        <v>335</v>
      </c>
    </row>
    <row r="48" spans="1:11" hidden="1">
      <c r="A48" t="s">
        <v>84</v>
      </c>
      <c r="B48" t="s">
        <v>287</v>
      </c>
      <c r="C48" t="s">
        <v>329</v>
      </c>
      <c r="D48" t="s">
        <v>336</v>
      </c>
      <c r="E48" t="s">
        <v>337</v>
      </c>
    </row>
    <row r="49" spans="1:5" hidden="1">
      <c r="A49" t="s">
        <v>85</v>
      </c>
      <c r="B49" t="s">
        <v>287</v>
      </c>
      <c r="C49" s="163" t="s">
        <v>338</v>
      </c>
      <c r="D49" t="s">
        <v>339</v>
      </c>
      <c r="E49" t="s">
        <v>334</v>
      </c>
    </row>
    <row r="50" spans="1:5" hidden="1">
      <c r="A50" t="s">
        <v>86</v>
      </c>
      <c r="B50" t="s">
        <v>287</v>
      </c>
      <c r="C50" s="163" t="s">
        <v>340</v>
      </c>
      <c r="D50" t="s">
        <v>341</v>
      </c>
      <c r="E50" t="s">
        <v>354</v>
      </c>
    </row>
    <row r="51" spans="1:5" hidden="1">
      <c r="A51" t="s">
        <v>87</v>
      </c>
      <c r="B51" t="s">
        <v>287</v>
      </c>
      <c r="C51" s="163" t="s">
        <v>342</v>
      </c>
      <c r="D51" t="s">
        <v>343</v>
      </c>
      <c r="E51" t="s">
        <v>352</v>
      </c>
    </row>
    <row r="52" spans="1:5" hidden="1">
      <c r="A52" t="s">
        <v>88</v>
      </c>
      <c r="B52" t="s">
        <v>287</v>
      </c>
      <c r="C52" s="163" t="s">
        <v>344</v>
      </c>
      <c r="D52" t="s">
        <v>345</v>
      </c>
      <c r="E52" t="s">
        <v>346</v>
      </c>
    </row>
    <row r="53" spans="1:5" hidden="1">
      <c r="A53" t="s">
        <v>89</v>
      </c>
      <c r="B53" t="s">
        <v>287</v>
      </c>
      <c r="C53" s="163" t="s">
        <v>347</v>
      </c>
      <c r="D53" t="s">
        <v>348</v>
      </c>
      <c r="E53" t="s">
        <v>350</v>
      </c>
    </row>
    <row r="54" spans="1:5" hidden="1">
      <c r="A54" t="s">
        <v>90</v>
      </c>
      <c r="B54" t="s">
        <v>287</v>
      </c>
      <c r="C54" s="163" t="s">
        <v>349</v>
      </c>
      <c r="D54" t="s">
        <v>353</v>
      </c>
      <c r="E54" t="s">
        <v>351</v>
      </c>
    </row>
    <row r="55" spans="1:5" hidden="1">
      <c r="A55" t="s">
        <v>91</v>
      </c>
      <c r="B55" t="s">
        <v>287</v>
      </c>
    </row>
    <row r="56" spans="1:5" hidden="1">
      <c r="A56" t="s">
        <v>92</v>
      </c>
      <c r="B56" t="s">
        <v>287</v>
      </c>
    </row>
    <row r="57" spans="1:5" hidden="1">
      <c r="A57" t="s">
        <v>93</v>
      </c>
      <c r="B57" t="s">
        <v>287</v>
      </c>
    </row>
    <row r="58" spans="1:5" hidden="1">
      <c r="A58" t="s">
        <v>94</v>
      </c>
      <c r="B58" t="s">
        <v>287</v>
      </c>
    </row>
    <row r="59" spans="1:5" hidden="1">
      <c r="A59" t="s">
        <v>95</v>
      </c>
      <c r="B59" t="s">
        <v>287</v>
      </c>
    </row>
    <row r="60" spans="1:5" hidden="1">
      <c r="A60" t="s">
        <v>96</v>
      </c>
      <c r="B60" t="s">
        <v>287</v>
      </c>
    </row>
    <row r="61" spans="1:5" hidden="1"/>
    <row r="62" spans="1:5" hidden="1">
      <c r="A62" s="275" t="s">
        <v>120</v>
      </c>
      <c r="B62" s="275"/>
      <c r="C62" s="275"/>
    </row>
    <row r="63" spans="1:5" hidden="1">
      <c r="A63" t="s">
        <v>99</v>
      </c>
      <c r="B63" t="s">
        <v>100</v>
      </c>
      <c r="C63" t="s">
        <v>101</v>
      </c>
    </row>
    <row r="64" spans="1:5" hidden="1">
      <c r="A64" t="s">
        <v>102</v>
      </c>
      <c r="B64" t="s">
        <v>103</v>
      </c>
      <c r="C64" t="s">
        <v>104</v>
      </c>
    </row>
    <row r="65" spans="1:3" hidden="1">
      <c r="A65" t="s">
        <v>105</v>
      </c>
      <c r="B65" t="s">
        <v>106</v>
      </c>
      <c r="C65" t="s">
        <v>107</v>
      </c>
    </row>
    <row r="66" spans="1:3" hidden="1">
      <c r="A66" t="s">
        <v>108</v>
      </c>
      <c r="B66" t="s">
        <v>109</v>
      </c>
    </row>
    <row r="67" spans="1:3" hidden="1">
      <c r="A67" t="s">
        <v>110</v>
      </c>
      <c r="B67" t="s">
        <v>111</v>
      </c>
    </row>
    <row r="68" spans="1:3" hidden="1">
      <c r="A68" t="s">
        <v>112</v>
      </c>
      <c r="B68" t="s">
        <v>113</v>
      </c>
    </row>
    <row r="69" spans="1:3" hidden="1">
      <c r="A69" t="s">
        <v>114</v>
      </c>
      <c r="B69" t="s">
        <v>115</v>
      </c>
    </row>
    <row r="70" spans="1:3" hidden="1">
      <c r="A70" t="s">
        <v>116</v>
      </c>
      <c r="B70" t="s">
        <v>117</v>
      </c>
    </row>
    <row r="71" spans="1:3" hidden="1">
      <c r="A71" t="s">
        <v>118</v>
      </c>
      <c r="B71" t="s">
        <v>119</v>
      </c>
    </row>
    <row r="72" spans="1:3" hidden="1"/>
    <row r="73" spans="1:3" hidden="1">
      <c r="A73" s="276" t="s">
        <v>262</v>
      </c>
      <c r="B73" s="276"/>
      <c r="C73" s="276"/>
    </row>
    <row r="74" spans="1:3" hidden="1">
      <c r="A74" s="25">
        <f>MATCH(C18,A75:A131,0)</f>
        <v>30</v>
      </c>
      <c r="B74" s="25"/>
      <c r="C74" s="25"/>
    </row>
    <row r="75" spans="1:3" hidden="1">
      <c r="A75" t="s">
        <v>200</v>
      </c>
      <c r="B75" t="s">
        <v>198</v>
      </c>
    </row>
    <row r="76" spans="1:3" hidden="1">
      <c r="A76" t="s">
        <v>356</v>
      </c>
      <c r="B76" t="s">
        <v>355</v>
      </c>
      <c r="C76" t="s">
        <v>357</v>
      </c>
    </row>
    <row r="77" spans="1:3" hidden="1">
      <c r="A77" t="s">
        <v>217</v>
      </c>
      <c r="B77" t="s">
        <v>218</v>
      </c>
      <c r="C77" t="s">
        <v>219</v>
      </c>
    </row>
    <row r="78" spans="1:3" hidden="1">
      <c r="A78" t="s">
        <v>230</v>
      </c>
      <c r="B78" t="s">
        <v>231</v>
      </c>
      <c r="C78" t="s">
        <v>232</v>
      </c>
    </row>
    <row r="79" spans="1:3" hidden="1">
      <c r="A79" t="s">
        <v>139</v>
      </c>
      <c r="B79" t="s">
        <v>140</v>
      </c>
      <c r="C79" t="s">
        <v>141</v>
      </c>
    </row>
    <row r="80" spans="1:3" hidden="1">
      <c r="A80" t="s">
        <v>241</v>
      </c>
      <c r="B80" t="s">
        <v>242</v>
      </c>
    </row>
    <row r="81" spans="1:3" hidden="1">
      <c r="A81" t="s">
        <v>358</v>
      </c>
      <c r="B81" t="s">
        <v>184</v>
      </c>
      <c r="C81" t="s">
        <v>185</v>
      </c>
    </row>
    <row r="82" spans="1:3" hidden="1">
      <c r="A82" t="s">
        <v>130</v>
      </c>
      <c r="B82" t="s">
        <v>131</v>
      </c>
      <c r="C82" t="s">
        <v>132</v>
      </c>
    </row>
    <row r="83" spans="1:3" hidden="1">
      <c r="A83" t="s">
        <v>363</v>
      </c>
      <c r="B83" t="s">
        <v>133</v>
      </c>
      <c r="C83" t="s">
        <v>362</v>
      </c>
    </row>
    <row r="84" spans="1:3" hidden="1">
      <c r="A84" t="s">
        <v>209</v>
      </c>
      <c r="B84" t="s">
        <v>210</v>
      </c>
      <c r="C84" t="s">
        <v>211</v>
      </c>
    </row>
    <row r="85" spans="1:3" hidden="1">
      <c r="A85" t="s">
        <v>152</v>
      </c>
      <c r="B85" t="s">
        <v>153</v>
      </c>
    </row>
    <row r="86" spans="1:3" hidden="1">
      <c r="A86" t="s">
        <v>192</v>
      </c>
      <c r="B86" t="s">
        <v>193</v>
      </c>
      <c r="C86" t="s">
        <v>194</v>
      </c>
    </row>
    <row r="87" spans="1:3" hidden="1">
      <c r="A87" t="s">
        <v>149</v>
      </c>
      <c r="B87" t="s">
        <v>150</v>
      </c>
      <c r="C87" t="s">
        <v>151</v>
      </c>
    </row>
    <row r="88" spans="1:3" hidden="1">
      <c r="A88" t="s">
        <v>121</v>
      </c>
      <c r="B88" t="s">
        <v>122</v>
      </c>
      <c r="C88" t="s">
        <v>123</v>
      </c>
    </row>
    <row r="89" spans="1:3" hidden="1">
      <c r="A89" t="s">
        <v>147</v>
      </c>
      <c r="B89" t="s">
        <v>148</v>
      </c>
    </row>
    <row r="90" spans="1:3" hidden="1">
      <c r="A90" t="s">
        <v>212</v>
      </c>
      <c r="B90" t="s">
        <v>213</v>
      </c>
    </row>
    <row r="91" spans="1:3" hidden="1">
      <c r="A91" t="s">
        <v>154</v>
      </c>
      <c r="B91" t="s">
        <v>155</v>
      </c>
    </row>
    <row r="92" spans="1:3" hidden="1">
      <c r="A92" t="s">
        <v>158</v>
      </c>
      <c r="B92" t="s">
        <v>159</v>
      </c>
      <c r="C92" t="s">
        <v>160</v>
      </c>
    </row>
    <row r="93" spans="1:3" hidden="1">
      <c r="A93" t="s">
        <v>168</v>
      </c>
      <c r="B93" t="s">
        <v>169</v>
      </c>
      <c r="C93" t="s">
        <v>170</v>
      </c>
    </row>
    <row r="94" spans="1:3" hidden="1">
      <c r="A94" t="s">
        <v>255</v>
      </c>
      <c r="B94" t="s">
        <v>256</v>
      </c>
      <c r="C94" t="s">
        <v>257</v>
      </c>
    </row>
    <row r="95" spans="1:3" hidden="1">
      <c r="A95" t="s">
        <v>205</v>
      </c>
      <c r="B95" t="s">
        <v>206</v>
      </c>
    </row>
    <row r="96" spans="1:3" hidden="1">
      <c r="A96" t="s">
        <v>171</v>
      </c>
      <c r="B96" t="s">
        <v>172</v>
      </c>
      <c r="C96" t="s">
        <v>173</v>
      </c>
    </row>
    <row r="97" spans="1:3" hidden="1">
      <c r="A97" t="s">
        <v>195</v>
      </c>
      <c r="B97" t="s">
        <v>196</v>
      </c>
    </row>
    <row r="98" spans="1:3" hidden="1">
      <c r="A98" t="s">
        <v>197</v>
      </c>
      <c r="B98" t="s">
        <v>198</v>
      </c>
      <c r="C98" t="s">
        <v>199</v>
      </c>
    </row>
    <row r="99" spans="1:3" hidden="1">
      <c r="A99" t="s">
        <v>189</v>
      </c>
      <c r="B99" t="s">
        <v>190</v>
      </c>
      <c r="C99" t="s">
        <v>191</v>
      </c>
    </row>
    <row r="100" spans="1:3" hidden="1">
      <c r="A100" t="s">
        <v>214</v>
      </c>
      <c r="B100" t="s">
        <v>215</v>
      </c>
      <c r="C100" t="s">
        <v>216</v>
      </c>
    </row>
    <row r="101" spans="1:3" hidden="1">
      <c r="A101" t="s">
        <v>207</v>
      </c>
      <c r="B101" t="s">
        <v>208</v>
      </c>
    </row>
    <row r="102" spans="1:3" hidden="1">
      <c r="A102" t="s">
        <v>223</v>
      </c>
      <c r="B102" t="s">
        <v>224</v>
      </c>
    </row>
    <row r="103" spans="1:3" hidden="1">
      <c r="A103" t="s">
        <v>220</v>
      </c>
      <c r="B103" t="s">
        <v>221</v>
      </c>
      <c r="C103" t="s">
        <v>222</v>
      </c>
    </row>
    <row r="104" spans="1:3" hidden="1">
      <c r="A104" t="s">
        <v>174</v>
      </c>
      <c r="B104" t="s">
        <v>175</v>
      </c>
      <c r="C104" t="s">
        <v>176</v>
      </c>
    </row>
    <row r="105" spans="1:3" hidden="1">
      <c r="A105" t="s">
        <v>233</v>
      </c>
      <c r="B105" t="s">
        <v>234</v>
      </c>
    </row>
    <row r="106" spans="1:3" hidden="1">
      <c r="A106" t="s">
        <v>235</v>
      </c>
      <c r="B106" t="s">
        <v>236</v>
      </c>
      <c r="C106" t="s">
        <v>237</v>
      </c>
    </row>
    <row r="107" spans="1:3" hidden="1">
      <c r="A107" t="s">
        <v>144</v>
      </c>
      <c r="B107" t="s">
        <v>145</v>
      </c>
      <c r="C107" t="s">
        <v>146</v>
      </c>
    </row>
    <row r="108" spans="1:3" hidden="1">
      <c r="A108" t="s">
        <v>186</v>
      </c>
      <c r="B108" t="s">
        <v>187</v>
      </c>
      <c r="C108" t="s">
        <v>188</v>
      </c>
    </row>
    <row r="109" spans="1:3" hidden="1">
      <c r="A109" t="s">
        <v>177</v>
      </c>
      <c r="B109" t="s">
        <v>178</v>
      </c>
    </row>
    <row r="110" spans="1:3" hidden="1">
      <c r="A110" t="s">
        <v>181</v>
      </c>
      <c r="B110" t="s">
        <v>182</v>
      </c>
      <c r="C110" t="s">
        <v>183</v>
      </c>
    </row>
    <row r="111" spans="1:3" hidden="1">
      <c r="A111" t="s">
        <v>142</v>
      </c>
      <c r="B111" t="s">
        <v>143</v>
      </c>
    </row>
    <row r="112" spans="1:3" hidden="1">
      <c r="A112" t="s">
        <v>249</v>
      </c>
      <c r="B112" t="s">
        <v>250</v>
      </c>
      <c r="C112" t="s">
        <v>251</v>
      </c>
    </row>
    <row r="113" spans="1:3" hidden="1">
      <c r="A113" t="s">
        <v>243</v>
      </c>
      <c r="B113" t="s">
        <v>244</v>
      </c>
      <c r="C113" t="s">
        <v>245</v>
      </c>
    </row>
    <row r="114" spans="1:3" hidden="1">
      <c r="A114" t="s">
        <v>161</v>
      </c>
      <c r="B114" t="s">
        <v>162</v>
      </c>
      <c r="C114" t="s">
        <v>163</v>
      </c>
    </row>
    <row r="115" spans="1:3" hidden="1">
      <c r="A115" t="s">
        <v>164</v>
      </c>
      <c r="B115" t="s">
        <v>165</v>
      </c>
    </row>
    <row r="116" spans="1:3" hidden="1">
      <c r="A116" t="s">
        <v>246</v>
      </c>
      <c r="B116" t="s">
        <v>247</v>
      </c>
      <c r="C116" t="s">
        <v>248</v>
      </c>
    </row>
    <row r="117" spans="1:3" hidden="1">
      <c r="A117" t="s">
        <v>124</v>
      </c>
      <c r="B117" t="s">
        <v>125</v>
      </c>
      <c r="C117" t="s">
        <v>126</v>
      </c>
    </row>
    <row r="118" spans="1:3" hidden="1">
      <c r="A118" t="s">
        <v>134</v>
      </c>
      <c r="B118" t="s">
        <v>135</v>
      </c>
      <c r="C118" t="s">
        <v>136</v>
      </c>
    </row>
    <row r="119" spans="1:3" hidden="1">
      <c r="A119" t="s">
        <v>225</v>
      </c>
      <c r="B119" t="s">
        <v>226</v>
      </c>
      <c r="C119" t="s">
        <v>227</v>
      </c>
    </row>
    <row r="120" spans="1:3" hidden="1">
      <c r="A120" t="s">
        <v>127</v>
      </c>
      <c r="B120" t="s">
        <v>128</v>
      </c>
      <c r="C120" t="s">
        <v>129</v>
      </c>
    </row>
    <row r="121" spans="1:3" hidden="1">
      <c r="A121" t="s">
        <v>260</v>
      </c>
      <c r="B121" t="s">
        <v>261</v>
      </c>
    </row>
    <row r="122" spans="1:3" hidden="1">
      <c r="A122" t="s">
        <v>179</v>
      </c>
      <c r="B122" t="s">
        <v>180</v>
      </c>
    </row>
    <row r="123" spans="1:3" hidden="1">
      <c r="A123" t="s">
        <v>203</v>
      </c>
      <c r="B123" t="s">
        <v>204</v>
      </c>
    </row>
    <row r="124" spans="1:3" hidden="1">
      <c r="A124" t="s">
        <v>228</v>
      </c>
      <c r="B124" t="s">
        <v>229</v>
      </c>
    </row>
    <row r="125" spans="1:3" hidden="1">
      <c r="A125" t="s">
        <v>238</v>
      </c>
      <c r="B125" t="s">
        <v>239</v>
      </c>
      <c r="C125" t="s">
        <v>240</v>
      </c>
    </row>
    <row r="126" spans="1:3" hidden="1">
      <c r="A126" t="s">
        <v>252</v>
      </c>
      <c r="B126" t="s">
        <v>253</v>
      </c>
      <c r="C126" t="s">
        <v>254</v>
      </c>
    </row>
    <row r="127" spans="1:3" hidden="1">
      <c r="A127" t="s">
        <v>137</v>
      </c>
      <c r="B127" t="s">
        <v>138</v>
      </c>
    </row>
    <row r="128" spans="1:3" hidden="1">
      <c r="A128" t="s">
        <v>258</v>
      </c>
      <c r="B128" t="s">
        <v>259</v>
      </c>
    </row>
    <row r="129" spans="1:2" hidden="1">
      <c r="A129" t="s">
        <v>156</v>
      </c>
      <c r="B129" t="s">
        <v>157</v>
      </c>
    </row>
    <row r="130" spans="1:2" hidden="1">
      <c r="A130" t="s">
        <v>166</v>
      </c>
      <c r="B130" t="s">
        <v>167</v>
      </c>
    </row>
    <row r="131" spans="1:2" hidden="1">
      <c r="A131" t="s">
        <v>201</v>
      </c>
      <c r="B131" t="s">
        <v>202</v>
      </c>
    </row>
    <row r="132" spans="1:2" hidden="1"/>
  </sheetData>
  <sheetProtection algorithmName="SHA-512" hashValue="5OCNtKwrXgu7AVAPcaP3QGwIckqpqT3jWQ+32g+XMeUnUnRSk0aTvWzaQW8x5ky0++nswai/EngHn6eBLtioHg==" saltValue="LDFYznXYcjlEyMdVjlH2Qg==" spinCount="100000" sheet="1" objects="1" scenarios="1" formatCells="0" selectLockedCells="1"/>
  <mergeCells count="4">
    <mergeCell ref="A11:A13"/>
    <mergeCell ref="A29:B29"/>
    <mergeCell ref="A62:C62"/>
    <mergeCell ref="A73:C73"/>
  </mergeCells>
  <dataValidations count="9">
    <dataValidation type="list" allowBlank="1" showErrorMessage="1" sqref="A16" xr:uid="{00000000-0002-0000-0400-000000000000}">
      <formula1>$A$39:$A$60</formula1>
    </dataValidation>
    <dataValidation type="list" allowBlank="1" showInputMessage="1" showErrorMessage="1" sqref="C18" xr:uid="{00000000-0002-0000-0400-000001000000}">
      <formula1>$A$75:$A$131</formula1>
    </dataValidation>
    <dataValidation type="list" allowBlank="1" showInputMessage="1" showErrorMessage="1" sqref="A8" xr:uid="{00000000-0002-0000-0400-000002000000}">
      <formula1>$C$34:$C$37</formula1>
    </dataValidation>
    <dataValidation type="list" allowBlank="1" showInputMessage="1" showErrorMessage="1" sqref="C22" xr:uid="{00000000-0002-0000-0400-000003000000}">
      <formula1>$C$40:$C$41</formula1>
    </dataValidation>
    <dataValidation type="list" allowBlank="1" showInputMessage="1" showErrorMessage="1" sqref="E22" xr:uid="{00000000-0002-0000-0400-000004000000}">
      <formula1>"1,4,5,6,7"</formula1>
    </dataValidation>
    <dataValidation type="list" allowBlank="1" showInputMessage="1" showErrorMessage="1" sqref="J8:J11" xr:uid="{00000000-0002-0000-0400-000005000000}">
      <formula1>$C$47:$C$54</formula1>
    </dataValidation>
    <dataValidation type="list" allowBlank="1" showInputMessage="1" showErrorMessage="1" sqref="L2" xr:uid="{00000000-0002-0000-0400-000006000000}">
      <formula1>"Байжанова К.С"</formula1>
    </dataValidation>
    <dataValidation type="list" allowBlank="1" showInputMessage="1" showErrorMessage="1" sqref="E16" xr:uid="{00000000-0002-0000-0400-000007000000}">
      <formula1>#REF!</formula1>
    </dataValidation>
    <dataValidation type="list" allowBlank="1" showInputMessage="1" showErrorMessage="1" sqref="J7" xr:uid="{00000000-0002-0000-0400-000008000000}">
      <formula1>$C$49:$C$54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2:O25"/>
  <sheetViews>
    <sheetView topLeftCell="A7" zoomScale="130" zoomScaleNormal="130" zoomScaleSheetLayoutView="115" workbookViewId="0">
      <selection activeCell="E20" sqref="E20:K20"/>
    </sheetView>
  </sheetViews>
  <sheetFormatPr defaultRowHeight="14.4"/>
  <cols>
    <col min="1" max="1" width="2.6640625" customWidth="1"/>
    <col min="2" max="2" width="22.5546875" customWidth="1"/>
    <col min="3" max="3" width="18.88671875" customWidth="1"/>
    <col min="4" max="4" width="2.33203125" customWidth="1"/>
    <col min="5" max="5" width="13.6640625" customWidth="1"/>
    <col min="6" max="6" width="2.44140625" customWidth="1"/>
    <col min="7" max="7" width="16" customWidth="1"/>
    <col min="8" max="8" width="2.109375" customWidth="1"/>
    <col min="9" max="9" width="14.44140625" customWidth="1"/>
    <col min="10" max="10" width="2" customWidth="1"/>
    <col min="11" max="11" width="15" customWidth="1"/>
    <col min="12" max="12" width="2.44140625" customWidth="1"/>
  </cols>
  <sheetData>
    <row r="2" spans="1:15" ht="15" customHeight="1">
      <c r="A2" s="45"/>
      <c r="B2" s="45" t="s">
        <v>292</v>
      </c>
      <c r="C2" s="280">
        <f>VALUE(d_begin)</f>
        <v>46280</v>
      </c>
      <c r="D2" s="65"/>
      <c r="E2" s="45" t="s">
        <v>269</v>
      </c>
      <c r="F2" s="282" t="s">
        <v>394</v>
      </c>
      <c r="G2" s="282"/>
      <c r="H2" s="282"/>
      <c r="I2" s="282"/>
      <c r="J2" s="282"/>
      <c r="K2" s="282"/>
    </row>
    <row r="3" spans="1:15" ht="15" customHeight="1">
      <c r="A3" s="45"/>
      <c r="B3" s="45" t="s">
        <v>293</v>
      </c>
      <c r="C3" s="280"/>
      <c r="D3" s="65"/>
      <c r="E3" s="45" t="s">
        <v>270</v>
      </c>
      <c r="F3" s="282"/>
      <c r="G3" s="282"/>
      <c r="H3" s="282"/>
      <c r="I3" s="282"/>
      <c r="J3" s="282"/>
      <c r="K3" s="282"/>
    </row>
    <row r="4" spans="1:15" ht="9" customHeight="1">
      <c r="A4" s="45"/>
      <c r="B4" s="46"/>
      <c r="C4" s="47"/>
      <c r="D4" s="47"/>
      <c r="E4" s="47"/>
      <c r="F4" s="47"/>
    </row>
    <row r="5" spans="1:15" ht="15" customHeight="1">
      <c r="A5" s="45"/>
      <c r="B5" s="45" t="s">
        <v>304</v>
      </c>
      <c r="C5" s="281">
        <f>VALUE(Input!B6)</f>
        <v>24816</v>
      </c>
      <c r="E5" s="45" t="s">
        <v>384</v>
      </c>
      <c r="F5" s="286" t="str">
        <f>Input!E33</f>
        <v xml:space="preserve"> </v>
      </c>
      <c r="G5" s="287"/>
      <c r="H5" s="287"/>
      <c r="I5" s="287"/>
      <c r="J5" s="287"/>
      <c r="K5" s="287"/>
      <c r="L5" s="48"/>
    </row>
    <row r="6" spans="1:15" ht="15" customHeight="1">
      <c r="A6" s="45"/>
      <c r="B6" s="45" t="s">
        <v>305</v>
      </c>
      <c r="C6" s="281"/>
      <c r="L6" s="48"/>
    </row>
    <row r="7" spans="1:15" ht="15.75" customHeight="1">
      <c r="A7" s="45"/>
      <c r="B7" s="46"/>
      <c r="C7" s="49"/>
      <c r="D7" s="49"/>
      <c r="E7" s="45" t="s">
        <v>294</v>
      </c>
      <c r="F7" s="45"/>
      <c r="H7" s="283" t="str">
        <f>IF(g_period&gt;0,g_period,"")&amp;IF(g_period&gt;0," "&amp;IF(AND(g_period&gt;=2,g_period&lt;5),"года",IF(g_period&gt;=5,"лет","год")),"")&amp;IF(g_period&gt;0,", с "&amp;TEXT(d_begin,"ДД.ММ.ГГГГ")&amp;" до "&amp;TEXT(Input!G15,"ДД.ММ.ГГГГ"),"не предусмотрен")</f>
        <v>15 лет, с 15.09.2026 до 15.09.2041</v>
      </c>
      <c r="I7" s="283"/>
      <c r="J7" s="283"/>
      <c r="K7" s="283"/>
    </row>
    <row r="8" spans="1:15" ht="15" customHeight="1">
      <c r="A8" s="45"/>
      <c r="B8" s="45" t="s">
        <v>306</v>
      </c>
      <c r="C8" s="69" t="str">
        <f>Input_CV!$E$43&amp;" / "&amp;Input_CV!$C$43</f>
        <v>ер адам / мужской</v>
      </c>
      <c r="E8" s="45" t="s">
        <v>295</v>
      </c>
      <c r="F8" s="45"/>
      <c r="H8" s="283"/>
      <c r="I8" s="283"/>
      <c r="J8" s="283"/>
      <c r="K8" s="283"/>
      <c r="L8" s="52"/>
    </row>
    <row r="9" spans="1:15" ht="15" thickBot="1">
      <c r="A9" s="45"/>
      <c r="B9" s="46"/>
      <c r="C9" s="51"/>
      <c r="D9" s="51"/>
      <c r="E9" s="51"/>
      <c r="F9" s="50"/>
      <c r="G9" s="45"/>
      <c r="H9" s="45"/>
      <c r="K9" s="26"/>
      <c r="L9" s="26"/>
    </row>
    <row r="10" spans="1:15" ht="12.75" customHeight="1" thickBot="1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5"/>
    </row>
    <row r="11" spans="1:15" ht="27.9" customHeight="1" thickBot="1">
      <c r="A11" s="57"/>
      <c r="B11" s="284" t="s">
        <v>314</v>
      </c>
      <c r="C11" s="285"/>
      <c r="D11" s="66"/>
      <c r="E11" s="277">
        <f>Input!B16</f>
        <v>11300000</v>
      </c>
      <c r="F11" s="278"/>
      <c r="G11" s="278"/>
      <c r="H11" s="278"/>
      <c r="I11" s="278"/>
      <c r="J11" s="278"/>
      <c r="K11" s="279"/>
      <c r="L11" s="58"/>
    </row>
    <row r="12" spans="1:15" ht="12.75" customHeight="1" thickBot="1">
      <c r="A12" s="57"/>
      <c r="B12" s="18"/>
      <c r="C12" s="18"/>
      <c r="L12" s="58"/>
    </row>
    <row r="13" spans="1:15" ht="27.9" customHeight="1" thickBot="1">
      <c r="A13" s="57"/>
      <c r="B13" s="293" t="s">
        <v>311</v>
      </c>
      <c r="C13" s="294"/>
      <c r="D13" s="66"/>
      <c r="E13" s="290">
        <f ca="1">IF(end=1,ROUND(calc!$E$6/12,0),IF(ROUND(calc!$E$6/12,0)&gt;=Input_calc!$H$20,Input!$B$33,"невозможно"))</f>
        <v>55697</v>
      </c>
      <c r="F13" s="290"/>
      <c r="G13" s="290"/>
      <c r="H13" s="290"/>
      <c r="I13" s="290"/>
      <c r="J13" s="290"/>
      <c r="K13" s="290"/>
      <c r="L13" s="58"/>
      <c r="N13" s="194"/>
      <c r="O13" s="194"/>
    </row>
    <row r="14" spans="1:15" ht="27.9" customHeight="1" thickBot="1">
      <c r="A14" s="57"/>
      <c r="B14" s="68"/>
      <c r="C14" s="68"/>
      <c r="D14" s="66"/>
      <c r="E14" s="70" t="s">
        <v>307</v>
      </c>
      <c r="F14" s="71"/>
      <c r="G14" s="70" t="s">
        <v>308</v>
      </c>
      <c r="H14" s="72"/>
      <c r="I14" s="70" t="s">
        <v>309</v>
      </c>
      <c r="J14" s="73"/>
      <c r="K14" s="70" t="s">
        <v>310</v>
      </c>
      <c r="L14" s="58"/>
    </row>
    <row r="15" spans="1:15" ht="27.9" customHeight="1" thickBot="1">
      <c r="A15" s="56"/>
      <c r="B15" s="284" t="s">
        <v>312</v>
      </c>
      <c r="C15" s="285"/>
      <c r="D15" s="66"/>
      <c r="E15" s="297">
        <f>Input!$G$4</f>
        <v>46280</v>
      </c>
      <c r="F15" s="298"/>
      <c r="G15" s="298"/>
      <c r="H15" s="298"/>
      <c r="I15" s="298"/>
      <c r="J15" s="298"/>
      <c r="K15" s="299"/>
      <c r="L15" s="58"/>
      <c r="N15" s="194"/>
    </row>
    <row r="16" spans="1:15" ht="12.75" customHeight="1" thickBot="1">
      <c r="A16" s="57"/>
      <c r="B16" s="74"/>
      <c r="C16" s="74"/>
      <c r="D16" s="45"/>
      <c r="E16" s="45"/>
      <c r="G16" s="59"/>
      <c r="H16" s="59"/>
      <c r="K16" s="59"/>
      <c r="L16" s="58"/>
    </row>
    <row r="17" spans="1:15" ht="27.9" customHeight="1" thickBot="1">
      <c r="A17" s="57"/>
      <c r="B17" s="284" t="s">
        <v>313</v>
      </c>
      <c r="C17" s="285"/>
      <c r="D17" s="66"/>
      <c r="E17" s="297" t="str">
        <f>IF(E15="невозможно","невозможно",Input!$G$12)</f>
        <v>пожизненно</v>
      </c>
      <c r="F17" s="298"/>
      <c r="G17" s="298"/>
      <c r="H17" s="298"/>
      <c r="I17" s="298"/>
      <c r="J17" s="298"/>
      <c r="K17" s="299"/>
      <c r="L17" s="58"/>
    </row>
    <row r="18" spans="1:15" ht="12.75" customHeight="1">
      <c r="A18" s="57"/>
      <c r="B18" s="75"/>
      <c r="C18" s="75"/>
      <c r="D18" s="60"/>
      <c r="E18" s="60"/>
      <c r="G18" s="61"/>
      <c r="H18" s="61"/>
      <c r="K18" s="59"/>
      <c r="L18" s="58"/>
    </row>
    <row r="19" spans="1:15" ht="12.75" customHeight="1" thickBot="1">
      <c r="A19" s="57"/>
      <c r="B19" s="75"/>
      <c r="C19" s="75"/>
      <c r="D19" s="60"/>
      <c r="E19" s="60"/>
      <c r="G19" s="61"/>
      <c r="H19" s="61"/>
      <c r="K19" s="59"/>
      <c r="L19" s="58"/>
    </row>
    <row r="20" spans="1:15" ht="27.9" customHeight="1" thickBot="1">
      <c r="A20" s="57"/>
      <c r="B20" s="295" t="s">
        <v>377</v>
      </c>
      <c r="C20" s="296"/>
      <c r="D20" s="67"/>
      <c r="E20" s="291">
        <f ca="1">IF(E13="невозможно","",IF(E13-14*Input_calc!H14&lt;0,0,ROUND((E13-14*Input_calc!H14)*0.1,2)))</f>
        <v>0</v>
      </c>
      <c r="F20" s="291"/>
      <c r="G20" s="291"/>
      <c r="H20" s="291"/>
      <c r="I20" s="291"/>
      <c r="J20" s="291"/>
      <c r="K20" s="291"/>
      <c r="L20" s="58"/>
    </row>
    <row r="21" spans="1:15" ht="12.75" customHeight="1" thickBot="1">
      <c r="A21" s="57"/>
      <c r="B21" s="74"/>
      <c r="C21" s="74"/>
      <c r="D21" s="45"/>
      <c r="E21" s="45"/>
      <c r="G21" s="61"/>
      <c r="H21" s="61"/>
      <c r="K21" s="59"/>
      <c r="L21" s="58"/>
    </row>
    <row r="22" spans="1:15" ht="27.9" customHeight="1" thickBot="1">
      <c r="A22" s="57"/>
      <c r="B22" s="288" t="s">
        <v>395</v>
      </c>
      <c r="C22" s="289"/>
      <c r="D22" s="60"/>
      <c r="E22" s="292">
        <f ca="1">IF(E13="невозможно","",IF(E20="","",E13-E20))</f>
        <v>55697</v>
      </c>
      <c r="F22" s="292"/>
      <c r="G22" s="292"/>
      <c r="H22" s="292"/>
      <c r="I22" s="292"/>
      <c r="J22" s="292"/>
      <c r="K22" s="292"/>
      <c r="L22" s="58"/>
    </row>
    <row r="23" spans="1:15" ht="15" customHeight="1">
      <c r="A23" s="57"/>
      <c r="B23" s="136"/>
      <c r="C23" s="136"/>
      <c r="D23" s="60"/>
      <c r="E23" s="137"/>
      <c r="G23" s="137"/>
      <c r="H23" s="61"/>
      <c r="I23" s="137"/>
      <c r="K23" s="137"/>
      <c r="L23" s="58"/>
    </row>
    <row r="24" spans="1:15" ht="12.75" customHeight="1" thickBot="1">
      <c r="A24" s="62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4"/>
      <c r="O24" s="194"/>
    </row>
    <row r="25" spans="1:15" ht="7.5" customHeight="1"/>
  </sheetData>
  <mergeCells count="17">
    <mergeCell ref="B22:C22"/>
    <mergeCell ref="E13:K13"/>
    <mergeCell ref="E20:K20"/>
    <mergeCell ref="E22:K22"/>
    <mergeCell ref="B13:C13"/>
    <mergeCell ref="B17:C17"/>
    <mergeCell ref="B20:C20"/>
    <mergeCell ref="B15:C15"/>
    <mergeCell ref="E15:K15"/>
    <mergeCell ref="E17:K17"/>
    <mergeCell ref="E11:K11"/>
    <mergeCell ref="C2:C3"/>
    <mergeCell ref="C5:C6"/>
    <mergeCell ref="F2:K3"/>
    <mergeCell ref="H7:K8"/>
    <mergeCell ref="B11:C11"/>
    <mergeCell ref="F5:K5"/>
  </mergeCells>
  <pageMargins left="0.7" right="0.7" top="0.75" bottom="0.75" header="0.3" footer="0.3"/>
  <pageSetup paperSize="9" scale="71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581750-CB9F-42CE-9E15-2D729737AE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54</vt:i4>
      </vt:variant>
    </vt:vector>
  </HeadingPairs>
  <TitlesOfParts>
    <vt:vector size="62" baseType="lpstr">
      <vt:lpstr>Input</vt:lpstr>
      <vt:lpstr>Input_calc</vt:lpstr>
      <vt:lpstr>calc</vt:lpstr>
      <vt:lpstr>calc2</vt:lpstr>
      <vt:lpstr>log</vt:lpstr>
      <vt:lpstr>График Выплат</vt:lpstr>
      <vt:lpstr>График Дивидендов</vt:lpstr>
      <vt:lpstr>Input_CV</vt:lpstr>
      <vt:lpstr>'График Дивидендов'!ann</vt:lpstr>
      <vt:lpstr>ann</vt:lpstr>
      <vt:lpstr>'График Дивидендов'!Ben</vt:lpstr>
      <vt:lpstr>Ben</vt:lpstr>
      <vt:lpstr>'График Дивидендов'!betta</vt:lpstr>
      <vt:lpstr>betta</vt:lpstr>
      <vt:lpstr>'График Дивидендов'!d_begin</vt:lpstr>
      <vt:lpstr>d_begin</vt:lpstr>
      <vt:lpstr>'График Дивидендов'!d_birth</vt:lpstr>
      <vt:lpstr>d_birth</vt:lpstr>
      <vt:lpstr>'График Дивидендов'!d_end</vt:lpstr>
      <vt:lpstr>d_end</vt:lpstr>
      <vt:lpstr>'График Дивидендов'!d_last</vt:lpstr>
      <vt:lpstr>d_last</vt:lpstr>
      <vt:lpstr>'График Дивидендов'!d_plast</vt:lpstr>
      <vt:lpstr>d_plast</vt:lpstr>
      <vt:lpstr>'График Дивидендов'!end</vt:lpstr>
      <vt:lpstr>end</vt:lpstr>
      <vt:lpstr>end_list</vt:lpstr>
      <vt:lpstr>'График Дивидендов'!freq</vt:lpstr>
      <vt:lpstr>freq</vt:lpstr>
      <vt:lpstr>'График Дивидендов'!freq_2</vt:lpstr>
      <vt:lpstr>freq_2</vt:lpstr>
      <vt:lpstr>freq_list</vt:lpstr>
      <vt:lpstr>'График Дивидендов'!g_period</vt:lpstr>
      <vt:lpstr>g_period</vt:lpstr>
      <vt:lpstr>'График Дивидендов'!gamma</vt:lpstr>
      <vt:lpstr>gamma</vt:lpstr>
      <vt:lpstr>'График Дивидендов'!i</vt:lpstr>
      <vt:lpstr>i</vt:lpstr>
      <vt:lpstr>'График Дивидендов'!index</vt:lpstr>
      <vt:lpstr>index</vt:lpstr>
      <vt:lpstr>list</vt:lpstr>
      <vt:lpstr>'График Дивидендов'!max_g_period</vt:lpstr>
      <vt:lpstr>max_g_period</vt:lpstr>
      <vt:lpstr>'График Дивидендов'!min_ann</vt:lpstr>
      <vt:lpstr>min_ann</vt:lpstr>
      <vt:lpstr>min_d_birth</vt:lpstr>
      <vt:lpstr>'График Дивидендов'!min_pen</vt:lpstr>
      <vt:lpstr>min_pen</vt:lpstr>
      <vt:lpstr>'График Дивидендов'!mort</vt:lpstr>
      <vt:lpstr>mort</vt:lpstr>
      <vt:lpstr>nom_ben</vt:lpstr>
      <vt:lpstr>'График Дивидендов'!pol</vt:lpstr>
      <vt:lpstr>pol</vt:lpstr>
      <vt:lpstr>'График Дивидендов'!pol_list</vt:lpstr>
      <vt:lpstr>pol_list</vt:lpstr>
      <vt:lpstr>'График Дивидендов'!x</vt:lpstr>
      <vt:lpstr>x</vt:lpstr>
      <vt:lpstr>'График Дивидендов'!x0</vt:lpstr>
      <vt:lpstr>x0</vt:lpstr>
      <vt:lpstr>'График Выплат'!Область_печати</vt:lpstr>
      <vt:lpstr>'График Дивидендов'!Область_печати</vt:lpstr>
      <vt:lpstr>Расчет!Область_печати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asialife 53-pk</dc:creator>
  <cp:lastModifiedBy>Карлыгаш Иманалиева</cp:lastModifiedBy>
  <cp:lastPrinted>2025-07-31T10:29:36Z</cp:lastPrinted>
  <dcterms:created xsi:type="dcterms:W3CDTF">2006-09-16T00:00:00Z</dcterms:created>
  <dcterms:modified xsi:type="dcterms:W3CDTF">2026-08-21T17:34:55Z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1-bc88714345d2_Enabled">
    <vt:lpwstr>true</vt:lpwstr>
  </property>
  <property fmtid="{D5CDD505-2E9C-101B-9397-08002B2CF9AE}" pid="3" name="MSIP_Label_defa4170-0d19-0005-0001-bc88714345d2_SetDate">
    <vt:lpwstr>2023-01-10T06:30:53Z</vt:lpwstr>
  </property>
  <property fmtid="{D5CDD505-2E9C-101B-9397-08002B2CF9AE}" pid="4" name="MSIP_Label_defa4170-0d19-0005-0001-bc88714345d2_Method">
    <vt:lpwstr>Standard</vt:lpwstr>
  </property>
  <property fmtid="{D5CDD505-2E9C-101B-9397-08002B2CF9AE}" pid="5" name="MSIP_Label_defa4170-0d19-0005-0001-bc88714345d2_Name">
    <vt:lpwstr>defa4170-0d19-0005-0001-bc88714345d2</vt:lpwstr>
  </property>
  <property fmtid="{D5CDD505-2E9C-101B-9397-08002B2CF9AE}" pid="6" name="MSIP_Label_defa4170-0d19-0005-0001-bc88714345d2_SiteId">
    <vt:lpwstr>7470e6aa-7ba3-459b-b601-e987fc0a153a</vt:lpwstr>
  </property>
  <property fmtid="{D5CDD505-2E9C-101B-9397-08002B2CF9AE}" pid="7" name="MSIP_Label_defa4170-0d19-0005-0001-bc88714345d2_ActionId">
    <vt:lpwstr>f53b6953-79c2-4c47-a613-9165f4afa83d</vt:lpwstr>
  </property>
  <property fmtid="{D5CDD505-2E9C-101B-9397-08002B2CF9AE}" pid="8" name="MSIP_Label_defa4170-0d19-0005-0001-bc88714345d2_ContentBits">
    <vt:lpwstr>0</vt:lpwstr>
  </property>
</Properties>
</file>